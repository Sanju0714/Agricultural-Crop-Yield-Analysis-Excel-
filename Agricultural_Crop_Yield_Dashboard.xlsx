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pm5cd\Downloads\"/>
    </mc:Choice>
  </mc:AlternateContent>
  <xr:revisionPtr revIDLastSave="0" documentId="13_ncr:1_{7F6A4719-C2EB-43A1-911B-A6EFB66BD23D}" xr6:coauthVersionLast="47" xr6:coauthVersionMax="47" xr10:uidLastSave="{00000000-0000-0000-0000-000000000000}"/>
  <bookViews>
    <workbookView xWindow="-108" yWindow="-108" windowWidth="23256" windowHeight="13176" activeTab="2" xr2:uid="{BC399237-42CD-49D0-9E9C-E766F9DCC247}"/>
  </bookViews>
  <sheets>
    <sheet name="Agricultural_Crop_Yield " sheetId="1" r:id="rId1"/>
    <sheet name="Pivot Tables" sheetId="2" r:id="rId2"/>
    <sheet name="Dashboard" sheetId="3" r:id="rId3"/>
  </sheets>
  <definedNames>
    <definedName name="Slicer_District">#N/A</definedName>
    <definedName name="Slicer_Fertilizer_Type">#N/A</definedName>
    <definedName name="Slicer_Fertilizer_Type1">#N/A</definedName>
    <definedName name="Slicer_Irrigation_Type">#N/A</definedName>
    <definedName name="Slicer_State">#N/A</definedName>
    <definedName name="Slicer_Year_Month">#N/A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7" i="1" l="1"/>
  <c r="S35" i="1"/>
  <c r="S41" i="1"/>
  <c r="S42" i="1"/>
  <c r="S43" i="1"/>
  <c r="S51" i="1"/>
  <c r="S57" i="1"/>
  <c r="S58" i="1"/>
  <c r="S59" i="1"/>
  <c r="S65" i="1"/>
  <c r="S67" i="1"/>
  <c r="S75" i="1"/>
  <c r="S81" i="1"/>
  <c r="S82" i="1"/>
  <c r="S83" i="1"/>
  <c r="S91" i="1"/>
  <c r="S94" i="1"/>
  <c r="S97" i="1"/>
  <c r="S98" i="1"/>
  <c r="S99" i="1"/>
  <c r="S102" i="1"/>
  <c r="S107" i="1"/>
  <c r="S110" i="1"/>
  <c r="S113" i="1"/>
  <c r="S114" i="1"/>
  <c r="S115" i="1"/>
  <c r="S118" i="1"/>
  <c r="S123" i="1"/>
  <c r="S126" i="1"/>
  <c r="S129" i="1"/>
  <c r="S130" i="1"/>
  <c r="S131" i="1"/>
  <c r="S134" i="1"/>
  <c r="S139" i="1"/>
  <c r="S142" i="1"/>
  <c r="S145" i="1"/>
  <c r="S146" i="1"/>
  <c r="S147" i="1"/>
  <c r="S150" i="1"/>
  <c r="S155" i="1"/>
  <c r="S158" i="1"/>
  <c r="S161" i="1"/>
  <c r="S162" i="1"/>
  <c r="S163" i="1"/>
  <c r="S166" i="1"/>
  <c r="S171" i="1"/>
  <c r="S174" i="1"/>
  <c r="S177" i="1"/>
  <c r="S178" i="1"/>
  <c r="S179" i="1"/>
  <c r="S182" i="1"/>
  <c r="S187" i="1"/>
  <c r="S190" i="1"/>
  <c r="S193" i="1"/>
  <c r="S194" i="1"/>
  <c r="S195" i="1"/>
  <c r="S198" i="1"/>
  <c r="S203" i="1"/>
  <c r="S206" i="1"/>
  <c r="S209" i="1"/>
  <c r="S210" i="1"/>
  <c r="S211" i="1"/>
  <c r="S214" i="1"/>
  <c r="S217" i="1"/>
  <c r="S218" i="1"/>
  <c r="S219" i="1"/>
  <c r="S221" i="1"/>
  <c r="S222" i="1"/>
  <c r="S225" i="1"/>
  <c r="S226" i="1"/>
  <c r="S230" i="1"/>
  <c r="S233" i="1"/>
  <c r="S234" i="1"/>
  <c r="S235" i="1"/>
  <c r="S237" i="1"/>
  <c r="S238" i="1"/>
  <c r="S241" i="1"/>
  <c r="S242" i="1"/>
  <c r="S243" i="1"/>
  <c r="S246" i="1"/>
  <c r="S249" i="1"/>
  <c r="S250" i="1"/>
  <c r="S254" i="1"/>
  <c r="S257" i="1"/>
  <c r="S258" i="1"/>
  <c r="S259" i="1"/>
  <c r="S261" i="1"/>
  <c r="S262" i="1"/>
  <c r="S265" i="1"/>
  <c r="S266" i="1"/>
  <c r="S270" i="1"/>
  <c r="S273" i="1"/>
  <c r="S274" i="1"/>
  <c r="S275" i="1"/>
  <c r="S278" i="1"/>
  <c r="S281" i="1"/>
  <c r="S282" i="1"/>
  <c r="S283" i="1"/>
  <c r="S285" i="1"/>
  <c r="S286" i="1"/>
  <c r="S289" i="1"/>
  <c r="S290" i="1"/>
  <c r="S294" i="1"/>
  <c r="S297" i="1"/>
  <c r="S298" i="1"/>
  <c r="S299" i="1"/>
  <c r="S301" i="1"/>
  <c r="S302" i="1"/>
  <c r="S305" i="1"/>
  <c r="S306" i="1"/>
  <c r="S307" i="1"/>
  <c r="S310" i="1"/>
  <c r="S313" i="1"/>
  <c r="S314" i="1"/>
  <c r="S318" i="1"/>
  <c r="S321" i="1"/>
  <c r="S322" i="1"/>
  <c r="S323" i="1"/>
  <c r="S325" i="1"/>
  <c r="S326" i="1"/>
  <c r="S329" i="1"/>
  <c r="S330" i="1"/>
  <c r="S334" i="1"/>
  <c r="S337" i="1"/>
  <c r="S338" i="1"/>
  <c r="S339" i="1"/>
  <c r="S342" i="1"/>
  <c r="S345" i="1"/>
  <c r="S346" i="1"/>
  <c r="S347" i="1"/>
  <c r="S349" i="1"/>
  <c r="S350" i="1"/>
  <c r="S353" i="1"/>
  <c r="S354" i="1"/>
  <c r="S358" i="1"/>
  <c r="S361" i="1"/>
  <c r="S362" i="1"/>
  <c r="S363" i="1"/>
  <c r="S365" i="1"/>
  <c r="S366" i="1"/>
  <c r="S369" i="1"/>
  <c r="S370" i="1"/>
  <c r="S371" i="1"/>
  <c r="S374" i="1"/>
  <c r="S377" i="1"/>
  <c r="S378" i="1"/>
  <c r="S382" i="1"/>
  <c r="S385" i="1"/>
  <c r="S386" i="1"/>
  <c r="S387" i="1"/>
  <c r="S389" i="1"/>
  <c r="S390" i="1"/>
  <c r="S393" i="1"/>
  <c r="S394" i="1"/>
  <c r="S398" i="1"/>
  <c r="S401" i="1"/>
  <c r="S402" i="1"/>
  <c r="S403" i="1"/>
  <c r="S406" i="1"/>
  <c r="S409" i="1"/>
  <c r="S410" i="1"/>
  <c r="S411" i="1"/>
  <c r="S413" i="1"/>
  <c r="S414" i="1"/>
  <c r="S417" i="1"/>
  <c r="S418" i="1"/>
  <c r="S422" i="1"/>
  <c r="S425" i="1"/>
  <c r="S426" i="1"/>
  <c r="S427" i="1"/>
  <c r="S429" i="1"/>
  <c r="S430" i="1"/>
  <c r="S433" i="1"/>
  <c r="S434" i="1"/>
  <c r="S435" i="1"/>
  <c r="S438" i="1"/>
  <c r="S441" i="1"/>
  <c r="S442" i="1"/>
  <c r="S446" i="1"/>
  <c r="S449" i="1"/>
  <c r="S450" i="1"/>
  <c r="S451" i="1"/>
  <c r="S453" i="1"/>
  <c r="S454" i="1"/>
  <c r="S457" i="1"/>
  <c r="S458" i="1"/>
  <c r="S462" i="1"/>
  <c r="S465" i="1"/>
  <c r="S466" i="1"/>
  <c r="S467" i="1"/>
  <c r="S470" i="1"/>
  <c r="S473" i="1"/>
  <c r="S474" i="1"/>
  <c r="S475" i="1"/>
  <c r="S477" i="1"/>
  <c r="S478" i="1"/>
  <c r="S481" i="1"/>
  <c r="S482" i="1"/>
  <c r="S486" i="1"/>
  <c r="S489" i="1"/>
  <c r="S490" i="1"/>
  <c r="S491" i="1"/>
  <c r="S493" i="1"/>
  <c r="S494" i="1"/>
  <c r="S497" i="1"/>
  <c r="S498" i="1"/>
  <c r="S499" i="1"/>
  <c r="S3" i="1"/>
  <c r="S6" i="1"/>
  <c r="S7" i="1"/>
  <c r="S11" i="1"/>
  <c r="S14" i="1"/>
  <c r="S15" i="1"/>
  <c r="S16" i="1"/>
  <c r="R215" i="1"/>
  <c r="S215" i="1" s="1"/>
  <c r="R216" i="1"/>
  <c r="S216" i="1" s="1"/>
  <c r="R217" i="1"/>
  <c r="R218" i="1"/>
  <c r="R219" i="1"/>
  <c r="R220" i="1"/>
  <c r="S220" i="1" s="1"/>
  <c r="R221" i="1"/>
  <c r="R222" i="1"/>
  <c r="R223" i="1"/>
  <c r="S223" i="1" s="1"/>
  <c r="R224" i="1"/>
  <c r="S224" i="1" s="1"/>
  <c r="R225" i="1"/>
  <c r="R226" i="1"/>
  <c r="R227" i="1"/>
  <c r="S227" i="1" s="1"/>
  <c r="R228" i="1"/>
  <c r="S228" i="1" s="1"/>
  <c r="R229" i="1"/>
  <c r="S229" i="1" s="1"/>
  <c r="R230" i="1"/>
  <c r="R231" i="1"/>
  <c r="S231" i="1" s="1"/>
  <c r="R232" i="1"/>
  <c r="S232" i="1" s="1"/>
  <c r="R233" i="1"/>
  <c r="R234" i="1"/>
  <c r="R235" i="1"/>
  <c r="R236" i="1"/>
  <c r="S236" i="1" s="1"/>
  <c r="R237" i="1"/>
  <c r="R238" i="1"/>
  <c r="R239" i="1"/>
  <c r="S239" i="1" s="1"/>
  <c r="R240" i="1"/>
  <c r="S240" i="1" s="1"/>
  <c r="R241" i="1"/>
  <c r="R242" i="1"/>
  <c r="R243" i="1"/>
  <c r="R244" i="1"/>
  <c r="S244" i="1" s="1"/>
  <c r="R245" i="1"/>
  <c r="S245" i="1" s="1"/>
  <c r="R246" i="1"/>
  <c r="R247" i="1"/>
  <c r="S247" i="1" s="1"/>
  <c r="R248" i="1"/>
  <c r="S248" i="1" s="1"/>
  <c r="R249" i="1"/>
  <c r="R250" i="1"/>
  <c r="R251" i="1"/>
  <c r="S251" i="1" s="1"/>
  <c r="R252" i="1"/>
  <c r="S252" i="1" s="1"/>
  <c r="R253" i="1"/>
  <c r="S253" i="1" s="1"/>
  <c r="R254" i="1"/>
  <c r="R255" i="1"/>
  <c r="S255" i="1" s="1"/>
  <c r="R256" i="1"/>
  <c r="S256" i="1" s="1"/>
  <c r="R257" i="1"/>
  <c r="R258" i="1"/>
  <c r="R259" i="1"/>
  <c r="R260" i="1"/>
  <c r="S260" i="1" s="1"/>
  <c r="R261" i="1"/>
  <c r="R262" i="1"/>
  <c r="R263" i="1"/>
  <c r="S263" i="1" s="1"/>
  <c r="R264" i="1"/>
  <c r="S264" i="1" s="1"/>
  <c r="R265" i="1"/>
  <c r="R266" i="1"/>
  <c r="R267" i="1"/>
  <c r="S267" i="1" s="1"/>
  <c r="R268" i="1"/>
  <c r="S268" i="1" s="1"/>
  <c r="R269" i="1"/>
  <c r="S269" i="1" s="1"/>
  <c r="R270" i="1"/>
  <c r="R271" i="1"/>
  <c r="S271" i="1" s="1"/>
  <c r="R272" i="1"/>
  <c r="S272" i="1" s="1"/>
  <c r="R273" i="1"/>
  <c r="R274" i="1"/>
  <c r="R275" i="1"/>
  <c r="R276" i="1"/>
  <c r="S276" i="1" s="1"/>
  <c r="R277" i="1"/>
  <c r="S277" i="1" s="1"/>
  <c r="R278" i="1"/>
  <c r="R279" i="1"/>
  <c r="S279" i="1" s="1"/>
  <c r="R280" i="1"/>
  <c r="S280" i="1" s="1"/>
  <c r="R281" i="1"/>
  <c r="R282" i="1"/>
  <c r="R283" i="1"/>
  <c r="R284" i="1"/>
  <c r="S284" i="1" s="1"/>
  <c r="R285" i="1"/>
  <c r="R286" i="1"/>
  <c r="R287" i="1"/>
  <c r="S287" i="1" s="1"/>
  <c r="R288" i="1"/>
  <c r="S288" i="1" s="1"/>
  <c r="R289" i="1"/>
  <c r="R290" i="1"/>
  <c r="R291" i="1"/>
  <c r="S291" i="1" s="1"/>
  <c r="R292" i="1"/>
  <c r="S292" i="1" s="1"/>
  <c r="R293" i="1"/>
  <c r="S293" i="1" s="1"/>
  <c r="R294" i="1"/>
  <c r="R295" i="1"/>
  <c r="S295" i="1" s="1"/>
  <c r="R296" i="1"/>
  <c r="S296" i="1" s="1"/>
  <c r="R297" i="1"/>
  <c r="R298" i="1"/>
  <c r="R299" i="1"/>
  <c r="R300" i="1"/>
  <c r="S300" i="1" s="1"/>
  <c r="R301" i="1"/>
  <c r="R302" i="1"/>
  <c r="R303" i="1"/>
  <c r="S303" i="1" s="1"/>
  <c r="R304" i="1"/>
  <c r="S304" i="1" s="1"/>
  <c r="R305" i="1"/>
  <c r="R306" i="1"/>
  <c r="R307" i="1"/>
  <c r="R308" i="1"/>
  <c r="S308" i="1" s="1"/>
  <c r="R309" i="1"/>
  <c r="S309" i="1" s="1"/>
  <c r="R310" i="1"/>
  <c r="R311" i="1"/>
  <c r="S311" i="1" s="1"/>
  <c r="R312" i="1"/>
  <c r="S312" i="1" s="1"/>
  <c r="R313" i="1"/>
  <c r="R314" i="1"/>
  <c r="R315" i="1"/>
  <c r="S315" i="1" s="1"/>
  <c r="R316" i="1"/>
  <c r="S316" i="1" s="1"/>
  <c r="R317" i="1"/>
  <c r="S317" i="1" s="1"/>
  <c r="R318" i="1"/>
  <c r="R319" i="1"/>
  <c r="S319" i="1" s="1"/>
  <c r="R320" i="1"/>
  <c r="S320" i="1" s="1"/>
  <c r="R321" i="1"/>
  <c r="R322" i="1"/>
  <c r="R323" i="1"/>
  <c r="R324" i="1"/>
  <c r="S324" i="1" s="1"/>
  <c r="R325" i="1"/>
  <c r="R326" i="1"/>
  <c r="R327" i="1"/>
  <c r="S327" i="1" s="1"/>
  <c r="R328" i="1"/>
  <c r="S328" i="1" s="1"/>
  <c r="R329" i="1"/>
  <c r="R330" i="1"/>
  <c r="R331" i="1"/>
  <c r="S331" i="1" s="1"/>
  <c r="R332" i="1"/>
  <c r="S332" i="1" s="1"/>
  <c r="R333" i="1"/>
  <c r="S333" i="1" s="1"/>
  <c r="R334" i="1"/>
  <c r="R335" i="1"/>
  <c r="S335" i="1" s="1"/>
  <c r="R336" i="1"/>
  <c r="S336" i="1" s="1"/>
  <c r="R337" i="1"/>
  <c r="R338" i="1"/>
  <c r="R339" i="1"/>
  <c r="R340" i="1"/>
  <c r="S340" i="1" s="1"/>
  <c r="R341" i="1"/>
  <c r="S341" i="1" s="1"/>
  <c r="R342" i="1"/>
  <c r="R343" i="1"/>
  <c r="S343" i="1" s="1"/>
  <c r="R344" i="1"/>
  <c r="S344" i="1" s="1"/>
  <c r="R345" i="1"/>
  <c r="R346" i="1"/>
  <c r="R347" i="1"/>
  <c r="R348" i="1"/>
  <c r="S348" i="1" s="1"/>
  <c r="R349" i="1"/>
  <c r="R350" i="1"/>
  <c r="R351" i="1"/>
  <c r="S351" i="1" s="1"/>
  <c r="R352" i="1"/>
  <c r="S352" i="1" s="1"/>
  <c r="R353" i="1"/>
  <c r="R354" i="1"/>
  <c r="R355" i="1"/>
  <c r="S355" i="1" s="1"/>
  <c r="R356" i="1"/>
  <c r="S356" i="1" s="1"/>
  <c r="R357" i="1"/>
  <c r="S357" i="1" s="1"/>
  <c r="R358" i="1"/>
  <c r="R359" i="1"/>
  <c r="S359" i="1" s="1"/>
  <c r="R360" i="1"/>
  <c r="S360" i="1" s="1"/>
  <c r="R361" i="1"/>
  <c r="R362" i="1"/>
  <c r="R363" i="1"/>
  <c r="R364" i="1"/>
  <c r="S364" i="1" s="1"/>
  <c r="R365" i="1"/>
  <c r="R366" i="1"/>
  <c r="R367" i="1"/>
  <c r="S367" i="1" s="1"/>
  <c r="R368" i="1"/>
  <c r="S368" i="1" s="1"/>
  <c r="R369" i="1"/>
  <c r="R370" i="1"/>
  <c r="R371" i="1"/>
  <c r="R372" i="1"/>
  <c r="S372" i="1" s="1"/>
  <c r="R373" i="1"/>
  <c r="S373" i="1" s="1"/>
  <c r="R374" i="1"/>
  <c r="R375" i="1"/>
  <c r="S375" i="1" s="1"/>
  <c r="R376" i="1"/>
  <c r="S376" i="1" s="1"/>
  <c r="R377" i="1"/>
  <c r="R378" i="1"/>
  <c r="R379" i="1"/>
  <c r="S379" i="1" s="1"/>
  <c r="R380" i="1"/>
  <c r="S380" i="1" s="1"/>
  <c r="R381" i="1"/>
  <c r="S381" i="1" s="1"/>
  <c r="R382" i="1"/>
  <c r="R383" i="1"/>
  <c r="S383" i="1" s="1"/>
  <c r="R384" i="1"/>
  <c r="S384" i="1" s="1"/>
  <c r="R385" i="1"/>
  <c r="R386" i="1"/>
  <c r="R387" i="1"/>
  <c r="R388" i="1"/>
  <c r="S388" i="1" s="1"/>
  <c r="R389" i="1"/>
  <c r="R390" i="1"/>
  <c r="R391" i="1"/>
  <c r="S391" i="1" s="1"/>
  <c r="R392" i="1"/>
  <c r="S392" i="1" s="1"/>
  <c r="R393" i="1"/>
  <c r="R394" i="1"/>
  <c r="R395" i="1"/>
  <c r="S395" i="1" s="1"/>
  <c r="R396" i="1"/>
  <c r="S396" i="1" s="1"/>
  <c r="R397" i="1"/>
  <c r="S397" i="1" s="1"/>
  <c r="R398" i="1"/>
  <c r="R399" i="1"/>
  <c r="S399" i="1" s="1"/>
  <c r="R400" i="1"/>
  <c r="S400" i="1" s="1"/>
  <c r="R401" i="1"/>
  <c r="R402" i="1"/>
  <c r="R403" i="1"/>
  <c r="R404" i="1"/>
  <c r="S404" i="1" s="1"/>
  <c r="R405" i="1"/>
  <c r="S405" i="1" s="1"/>
  <c r="R406" i="1"/>
  <c r="R407" i="1"/>
  <c r="S407" i="1" s="1"/>
  <c r="R408" i="1"/>
  <c r="S408" i="1" s="1"/>
  <c r="R409" i="1"/>
  <c r="R410" i="1"/>
  <c r="R411" i="1"/>
  <c r="R412" i="1"/>
  <c r="S412" i="1" s="1"/>
  <c r="R413" i="1"/>
  <c r="R414" i="1"/>
  <c r="R415" i="1"/>
  <c r="S415" i="1" s="1"/>
  <c r="R416" i="1"/>
  <c r="S416" i="1" s="1"/>
  <c r="R417" i="1"/>
  <c r="R418" i="1"/>
  <c r="R419" i="1"/>
  <c r="S419" i="1" s="1"/>
  <c r="R420" i="1"/>
  <c r="S420" i="1" s="1"/>
  <c r="R421" i="1"/>
  <c r="S421" i="1" s="1"/>
  <c r="R422" i="1"/>
  <c r="R423" i="1"/>
  <c r="S423" i="1" s="1"/>
  <c r="R424" i="1"/>
  <c r="S424" i="1" s="1"/>
  <c r="R425" i="1"/>
  <c r="R426" i="1"/>
  <c r="R427" i="1"/>
  <c r="R428" i="1"/>
  <c r="S428" i="1" s="1"/>
  <c r="R429" i="1"/>
  <c r="R430" i="1"/>
  <c r="R431" i="1"/>
  <c r="S431" i="1" s="1"/>
  <c r="R432" i="1"/>
  <c r="S432" i="1" s="1"/>
  <c r="R433" i="1"/>
  <c r="R434" i="1"/>
  <c r="R435" i="1"/>
  <c r="R436" i="1"/>
  <c r="S436" i="1" s="1"/>
  <c r="R437" i="1"/>
  <c r="S437" i="1" s="1"/>
  <c r="R438" i="1"/>
  <c r="R439" i="1"/>
  <c r="S439" i="1" s="1"/>
  <c r="R440" i="1"/>
  <c r="S440" i="1" s="1"/>
  <c r="R441" i="1"/>
  <c r="R442" i="1"/>
  <c r="R443" i="1"/>
  <c r="S443" i="1" s="1"/>
  <c r="R444" i="1"/>
  <c r="S444" i="1" s="1"/>
  <c r="R445" i="1"/>
  <c r="S445" i="1" s="1"/>
  <c r="R446" i="1"/>
  <c r="R447" i="1"/>
  <c r="S447" i="1" s="1"/>
  <c r="R448" i="1"/>
  <c r="S448" i="1" s="1"/>
  <c r="R449" i="1"/>
  <c r="R450" i="1"/>
  <c r="R451" i="1"/>
  <c r="R452" i="1"/>
  <c r="S452" i="1" s="1"/>
  <c r="R453" i="1"/>
  <c r="R454" i="1"/>
  <c r="R455" i="1"/>
  <c r="S455" i="1" s="1"/>
  <c r="R456" i="1"/>
  <c r="S456" i="1" s="1"/>
  <c r="R457" i="1"/>
  <c r="R458" i="1"/>
  <c r="R459" i="1"/>
  <c r="S459" i="1" s="1"/>
  <c r="R460" i="1"/>
  <c r="S460" i="1" s="1"/>
  <c r="R461" i="1"/>
  <c r="S461" i="1" s="1"/>
  <c r="R462" i="1"/>
  <c r="R463" i="1"/>
  <c r="S463" i="1" s="1"/>
  <c r="R464" i="1"/>
  <c r="S464" i="1" s="1"/>
  <c r="R465" i="1"/>
  <c r="R466" i="1"/>
  <c r="R467" i="1"/>
  <c r="R468" i="1"/>
  <c r="S468" i="1" s="1"/>
  <c r="R469" i="1"/>
  <c r="S469" i="1" s="1"/>
  <c r="R470" i="1"/>
  <c r="R471" i="1"/>
  <c r="S471" i="1" s="1"/>
  <c r="R472" i="1"/>
  <c r="S472" i="1" s="1"/>
  <c r="R473" i="1"/>
  <c r="R474" i="1"/>
  <c r="R475" i="1"/>
  <c r="R476" i="1"/>
  <c r="S476" i="1" s="1"/>
  <c r="R477" i="1"/>
  <c r="R478" i="1"/>
  <c r="R479" i="1"/>
  <c r="S479" i="1" s="1"/>
  <c r="R480" i="1"/>
  <c r="S480" i="1" s="1"/>
  <c r="R481" i="1"/>
  <c r="R482" i="1"/>
  <c r="R483" i="1"/>
  <c r="S483" i="1" s="1"/>
  <c r="R484" i="1"/>
  <c r="S484" i="1" s="1"/>
  <c r="R485" i="1"/>
  <c r="S485" i="1" s="1"/>
  <c r="R486" i="1"/>
  <c r="R487" i="1"/>
  <c r="S487" i="1" s="1"/>
  <c r="R488" i="1"/>
  <c r="S488" i="1" s="1"/>
  <c r="R489" i="1"/>
  <c r="R490" i="1"/>
  <c r="R491" i="1"/>
  <c r="R492" i="1"/>
  <c r="S492" i="1" s="1"/>
  <c r="R493" i="1"/>
  <c r="R494" i="1"/>
  <c r="R495" i="1"/>
  <c r="S495" i="1" s="1"/>
  <c r="R496" i="1"/>
  <c r="S496" i="1" s="1"/>
  <c r="R497" i="1"/>
  <c r="R498" i="1"/>
  <c r="R499" i="1"/>
  <c r="R500" i="1"/>
  <c r="S500" i="1" s="1"/>
  <c r="R501" i="1"/>
  <c r="S501" i="1" s="1"/>
  <c r="R3" i="1"/>
  <c r="R4" i="1"/>
  <c r="S4" i="1" s="1"/>
  <c r="R5" i="1"/>
  <c r="S5" i="1" s="1"/>
  <c r="R6" i="1"/>
  <c r="R7" i="1"/>
  <c r="R8" i="1"/>
  <c r="S8" i="1" s="1"/>
  <c r="R9" i="1"/>
  <c r="S9" i="1" s="1"/>
  <c r="R10" i="1"/>
  <c r="S10" i="1" s="1"/>
  <c r="R11" i="1"/>
  <c r="R12" i="1"/>
  <c r="S12" i="1" s="1"/>
  <c r="R13" i="1"/>
  <c r="S13" i="1" s="1"/>
  <c r="R14" i="1"/>
  <c r="R15" i="1"/>
  <c r="R16" i="1"/>
  <c r="R17" i="1"/>
  <c r="S17" i="1" s="1"/>
  <c r="R18" i="1"/>
  <c r="S18" i="1" s="1"/>
  <c r="R19" i="1"/>
  <c r="S19" i="1" s="1"/>
  <c r="R20" i="1"/>
  <c r="S20" i="1" s="1"/>
  <c r="R21" i="1"/>
  <c r="S21" i="1" s="1"/>
  <c r="R22" i="1"/>
  <c r="S22" i="1" s="1"/>
  <c r="R23" i="1"/>
  <c r="S23" i="1" s="1"/>
  <c r="R24" i="1"/>
  <c r="S24" i="1" s="1"/>
  <c r="R25" i="1"/>
  <c r="S25" i="1" s="1"/>
  <c r="R26" i="1"/>
  <c r="S26" i="1" s="1"/>
  <c r="R27" i="1"/>
  <c r="R28" i="1"/>
  <c r="S28" i="1" s="1"/>
  <c r="R29" i="1"/>
  <c r="S29" i="1" s="1"/>
  <c r="R30" i="1"/>
  <c r="S30" i="1" s="1"/>
  <c r="R31" i="1"/>
  <c r="S31" i="1" s="1"/>
  <c r="R32" i="1"/>
  <c r="S32" i="1" s="1"/>
  <c r="R33" i="1"/>
  <c r="S33" i="1" s="1"/>
  <c r="R34" i="1"/>
  <c r="S34" i="1" s="1"/>
  <c r="R35" i="1"/>
  <c r="R36" i="1"/>
  <c r="S36" i="1" s="1"/>
  <c r="R37" i="1"/>
  <c r="S37" i="1" s="1"/>
  <c r="R38" i="1"/>
  <c r="S38" i="1" s="1"/>
  <c r="R39" i="1"/>
  <c r="S39" i="1" s="1"/>
  <c r="R40" i="1"/>
  <c r="S40" i="1" s="1"/>
  <c r="R41" i="1"/>
  <c r="R42" i="1"/>
  <c r="R43" i="1"/>
  <c r="R44" i="1"/>
  <c r="S44" i="1" s="1"/>
  <c r="R45" i="1"/>
  <c r="S45" i="1" s="1"/>
  <c r="R46" i="1"/>
  <c r="S46" i="1" s="1"/>
  <c r="R47" i="1"/>
  <c r="S47" i="1" s="1"/>
  <c r="R48" i="1"/>
  <c r="S48" i="1" s="1"/>
  <c r="R49" i="1"/>
  <c r="S49" i="1" s="1"/>
  <c r="R50" i="1"/>
  <c r="S50" i="1" s="1"/>
  <c r="R51" i="1"/>
  <c r="R52" i="1"/>
  <c r="S52" i="1" s="1"/>
  <c r="R53" i="1"/>
  <c r="S53" i="1" s="1"/>
  <c r="R54" i="1"/>
  <c r="S54" i="1" s="1"/>
  <c r="R55" i="1"/>
  <c r="S55" i="1" s="1"/>
  <c r="R56" i="1"/>
  <c r="S56" i="1" s="1"/>
  <c r="R57" i="1"/>
  <c r="R58" i="1"/>
  <c r="R59" i="1"/>
  <c r="R60" i="1"/>
  <c r="S60" i="1" s="1"/>
  <c r="R61" i="1"/>
  <c r="S61" i="1" s="1"/>
  <c r="R62" i="1"/>
  <c r="S62" i="1" s="1"/>
  <c r="R63" i="1"/>
  <c r="S63" i="1" s="1"/>
  <c r="R64" i="1"/>
  <c r="S64" i="1" s="1"/>
  <c r="R65" i="1"/>
  <c r="R66" i="1"/>
  <c r="S66" i="1" s="1"/>
  <c r="R67" i="1"/>
  <c r="R68" i="1"/>
  <c r="S68" i="1" s="1"/>
  <c r="R69" i="1"/>
  <c r="S69" i="1" s="1"/>
  <c r="R70" i="1"/>
  <c r="S70" i="1" s="1"/>
  <c r="R71" i="1"/>
  <c r="S71" i="1" s="1"/>
  <c r="R72" i="1"/>
  <c r="S72" i="1" s="1"/>
  <c r="R73" i="1"/>
  <c r="S73" i="1" s="1"/>
  <c r="R74" i="1"/>
  <c r="S74" i="1" s="1"/>
  <c r="R75" i="1"/>
  <c r="R76" i="1"/>
  <c r="S76" i="1" s="1"/>
  <c r="R77" i="1"/>
  <c r="S77" i="1" s="1"/>
  <c r="R78" i="1"/>
  <c r="S78" i="1" s="1"/>
  <c r="R79" i="1"/>
  <c r="S79" i="1" s="1"/>
  <c r="R80" i="1"/>
  <c r="S80" i="1" s="1"/>
  <c r="R81" i="1"/>
  <c r="R82" i="1"/>
  <c r="R83" i="1"/>
  <c r="R84" i="1"/>
  <c r="S84" i="1" s="1"/>
  <c r="R85" i="1"/>
  <c r="S85" i="1" s="1"/>
  <c r="R86" i="1"/>
  <c r="S86" i="1" s="1"/>
  <c r="R87" i="1"/>
  <c r="S87" i="1" s="1"/>
  <c r="R88" i="1"/>
  <c r="S88" i="1" s="1"/>
  <c r="R89" i="1"/>
  <c r="S89" i="1" s="1"/>
  <c r="R90" i="1"/>
  <c r="S90" i="1" s="1"/>
  <c r="R91" i="1"/>
  <c r="R92" i="1"/>
  <c r="S92" i="1" s="1"/>
  <c r="R93" i="1"/>
  <c r="S93" i="1" s="1"/>
  <c r="R94" i="1"/>
  <c r="R95" i="1"/>
  <c r="S95" i="1" s="1"/>
  <c r="R96" i="1"/>
  <c r="S96" i="1" s="1"/>
  <c r="R97" i="1"/>
  <c r="R98" i="1"/>
  <c r="R99" i="1"/>
  <c r="R100" i="1"/>
  <c r="S100" i="1" s="1"/>
  <c r="R101" i="1"/>
  <c r="S101" i="1" s="1"/>
  <c r="R102" i="1"/>
  <c r="R103" i="1"/>
  <c r="S103" i="1" s="1"/>
  <c r="R104" i="1"/>
  <c r="S104" i="1" s="1"/>
  <c r="R105" i="1"/>
  <c r="S105" i="1" s="1"/>
  <c r="R106" i="1"/>
  <c r="S106" i="1" s="1"/>
  <c r="R107" i="1"/>
  <c r="R108" i="1"/>
  <c r="S108" i="1" s="1"/>
  <c r="R109" i="1"/>
  <c r="S109" i="1" s="1"/>
  <c r="R110" i="1"/>
  <c r="R111" i="1"/>
  <c r="S111" i="1" s="1"/>
  <c r="R112" i="1"/>
  <c r="S112" i="1" s="1"/>
  <c r="R113" i="1"/>
  <c r="R114" i="1"/>
  <c r="R115" i="1"/>
  <c r="R116" i="1"/>
  <c r="S116" i="1" s="1"/>
  <c r="R117" i="1"/>
  <c r="S117" i="1" s="1"/>
  <c r="R118" i="1"/>
  <c r="R119" i="1"/>
  <c r="S119" i="1" s="1"/>
  <c r="R120" i="1"/>
  <c r="S120" i="1" s="1"/>
  <c r="R121" i="1"/>
  <c r="S121" i="1" s="1"/>
  <c r="R122" i="1"/>
  <c r="S122" i="1" s="1"/>
  <c r="R123" i="1"/>
  <c r="R124" i="1"/>
  <c r="S124" i="1" s="1"/>
  <c r="R125" i="1"/>
  <c r="S125" i="1" s="1"/>
  <c r="R126" i="1"/>
  <c r="R127" i="1"/>
  <c r="S127" i="1" s="1"/>
  <c r="R128" i="1"/>
  <c r="S128" i="1" s="1"/>
  <c r="R129" i="1"/>
  <c r="R130" i="1"/>
  <c r="R131" i="1"/>
  <c r="R132" i="1"/>
  <c r="S132" i="1" s="1"/>
  <c r="R133" i="1"/>
  <c r="S133" i="1" s="1"/>
  <c r="R134" i="1"/>
  <c r="R135" i="1"/>
  <c r="S135" i="1" s="1"/>
  <c r="R136" i="1"/>
  <c r="S136" i="1" s="1"/>
  <c r="R137" i="1"/>
  <c r="S137" i="1" s="1"/>
  <c r="R138" i="1"/>
  <c r="S138" i="1" s="1"/>
  <c r="R139" i="1"/>
  <c r="R140" i="1"/>
  <c r="S140" i="1" s="1"/>
  <c r="R141" i="1"/>
  <c r="S141" i="1" s="1"/>
  <c r="R142" i="1"/>
  <c r="R143" i="1"/>
  <c r="S143" i="1" s="1"/>
  <c r="R144" i="1"/>
  <c r="S144" i="1" s="1"/>
  <c r="R145" i="1"/>
  <c r="R146" i="1"/>
  <c r="R147" i="1"/>
  <c r="R148" i="1"/>
  <c r="S148" i="1" s="1"/>
  <c r="R149" i="1"/>
  <c r="S149" i="1" s="1"/>
  <c r="R150" i="1"/>
  <c r="R151" i="1"/>
  <c r="S151" i="1" s="1"/>
  <c r="R152" i="1"/>
  <c r="S152" i="1" s="1"/>
  <c r="R153" i="1"/>
  <c r="S153" i="1" s="1"/>
  <c r="R154" i="1"/>
  <c r="S154" i="1" s="1"/>
  <c r="R155" i="1"/>
  <c r="R156" i="1"/>
  <c r="S156" i="1" s="1"/>
  <c r="R157" i="1"/>
  <c r="S157" i="1" s="1"/>
  <c r="R158" i="1"/>
  <c r="R159" i="1"/>
  <c r="S159" i="1" s="1"/>
  <c r="R160" i="1"/>
  <c r="S160" i="1" s="1"/>
  <c r="R161" i="1"/>
  <c r="R162" i="1"/>
  <c r="R163" i="1"/>
  <c r="R164" i="1"/>
  <c r="S164" i="1" s="1"/>
  <c r="R165" i="1"/>
  <c r="S165" i="1" s="1"/>
  <c r="R166" i="1"/>
  <c r="R167" i="1"/>
  <c r="S167" i="1" s="1"/>
  <c r="R168" i="1"/>
  <c r="S168" i="1" s="1"/>
  <c r="R169" i="1"/>
  <c r="S169" i="1" s="1"/>
  <c r="R170" i="1"/>
  <c r="S170" i="1" s="1"/>
  <c r="R171" i="1"/>
  <c r="R172" i="1"/>
  <c r="S172" i="1" s="1"/>
  <c r="R173" i="1"/>
  <c r="S173" i="1" s="1"/>
  <c r="R174" i="1"/>
  <c r="R175" i="1"/>
  <c r="S175" i="1" s="1"/>
  <c r="R176" i="1"/>
  <c r="S176" i="1" s="1"/>
  <c r="R177" i="1"/>
  <c r="R178" i="1"/>
  <c r="R179" i="1"/>
  <c r="R180" i="1"/>
  <c r="S180" i="1" s="1"/>
  <c r="R181" i="1"/>
  <c r="S181" i="1" s="1"/>
  <c r="R182" i="1"/>
  <c r="R183" i="1"/>
  <c r="S183" i="1" s="1"/>
  <c r="R184" i="1"/>
  <c r="S184" i="1" s="1"/>
  <c r="R185" i="1"/>
  <c r="S185" i="1" s="1"/>
  <c r="R186" i="1"/>
  <c r="S186" i="1" s="1"/>
  <c r="R187" i="1"/>
  <c r="R188" i="1"/>
  <c r="S188" i="1" s="1"/>
  <c r="R189" i="1"/>
  <c r="S189" i="1" s="1"/>
  <c r="R190" i="1"/>
  <c r="R191" i="1"/>
  <c r="S191" i="1" s="1"/>
  <c r="R192" i="1"/>
  <c r="S192" i="1" s="1"/>
  <c r="R193" i="1"/>
  <c r="R194" i="1"/>
  <c r="R195" i="1"/>
  <c r="R196" i="1"/>
  <c r="S196" i="1" s="1"/>
  <c r="R197" i="1"/>
  <c r="S197" i="1" s="1"/>
  <c r="R198" i="1"/>
  <c r="R199" i="1"/>
  <c r="S199" i="1" s="1"/>
  <c r="R200" i="1"/>
  <c r="S200" i="1" s="1"/>
  <c r="R201" i="1"/>
  <c r="S201" i="1" s="1"/>
  <c r="R202" i="1"/>
  <c r="S202" i="1" s="1"/>
  <c r="R203" i="1"/>
  <c r="R204" i="1"/>
  <c r="S204" i="1" s="1"/>
  <c r="R205" i="1"/>
  <c r="S205" i="1" s="1"/>
  <c r="R206" i="1"/>
  <c r="R207" i="1"/>
  <c r="S207" i="1" s="1"/>
  <c r="R208" i="1"/>
  <c r="S208" i="1" s="1"/>
  <c r="R209" i="1"/>
  <c r="R210" i="1"/>
  <c r="R211" i="1"/>
  <c r="R212" i="1"/>
  <c r="S212" i="1" s="1"/>
  <c r="R213" i="1"/>
  <c r="S213" i="1" s="1"/>
  <c r="R214" i="1"/>
  <c r="R2" i="1"/>
  <c r="S2" i="1" s="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3" i="1"/>
  <c r="Q4" i="1"/>
  <c r="Q5" i="1"/>
  <c r="Q6" i="1"/>
  <c r="Q7" i="1"/>
  <c r="Q8" i="1"/>
  <c r="Q9" i="1"/>
  <c r="Q10" i="1"/>
  <c r="Q11" i="1"/>
  <c r="Q12" i="1"/>
  <c r="Q13" i="1"/>
  <c r="Q14" i="1"/>
  <c r="Q15" i="1"/>
  <c r="Q16" i="1"/>
  <c r="Q17" i="1"/>
  <c r="Q18" i="1"/>
  <c r="Q19" i="1"/>
  <c r="Q20" i="1"/>
  <c r="Q21" i="1"/>
  <c r="Q22" i="1"/>
  <c r="Q23" i="1"/>
  <c r="Q24" i="1"/>
  <c r="Q25" i="1"/>
  <c r="Q26" i="1"/>
  <c r="Q2" i="1"/>
</calcChain>
</file>

<file path=xl/sharedStrings.xml><?xml version="1.0" encoding="utf-8"?>
<sst xmlns="http://schemas.openxmlformats.org/spreadsheetml/2006/main" count="4287" uniqueCount="728">
  <si>
    <t>Crop ID</t>
  </si>
  <si>
    <t>Date</t>
  </si>
  <si>
    <t>Year</t>
  </si>
  <si>
    <t>State</t>
  </si>
  <si>
    <t>District</t>
  </si>
  <si>
    <t>Season</t>
  </si>
  <si>
    <t>Crop Name</t>
  </si>
  <si>
    <t>Area (Hectares)</t>
  </si>
  <si>
    <t>Production (Tonnes)</t>
  </si>
  <si>
    <t>Yield (Kg/Ha)</t>
  </si>
  <si>
    <t>Irrigation Type</t>
  </si>
  <si>
    <t>Fertilizer Type</t>
  </si>
  <si>
    <t>Fertilizer Used (Kg)</t>
  </si>
  <si>
    <t>Rainfall (mm)</t>
  </si>
  <si>
    <t>Soil Type</t>
  </si>
  <si>
    <t>Temperature (Celsius)</t>
  </si>
  <si>
    <t>CID1</t>
  </si>
  <si>
    <t>Uttar Pradesh</t>
  </si>
  <si>
    <t>Lucknow</t>
  </si>
  <si>
    <t>Zaid</t>
  </si>
  <si>
    <t>Maize</t>
  </si>
  <si>
    <t>Canal</t>
  </si>
  <si>
    <t>Urea</t>
  </si>
  <si>
    <t>Black</t>
  </si>
  <si>
    <t>CID2</t>
  </si>
  <si>
    <t>Punjab</t>
  </si>
  <si>
    <t>Ludhiana</t>
  </si>
  <si>
    <t>Pulses</t>
  </si>
  <si>
    <t>Drip</t>
  </si>
  <si>
    <t>Compost</t>
  </si>
  <si>
    <t>CID3</t>
  </si>
  <si>
    <t>Maharashtra</t>
  </si>
  <si>
    <t>Pune</t>
  </si>
  <si>
    <t>Kharif</t>
  </si>
  <si>
    <t>Rainfed</t>
  </si>
  <si>
    <t>CID4</t>
  </si>
  <si>
    <t>Karnataka</t>
  </si>
  <si>
    <t>Bangalore</t>
  </si>
  <si>
    <t>Rabi</t>
  </si>
  <si>
    <t>Cotton</t>
  </si>
  <si>
    <t>Borewell</t>
  </si>
  <si>
    <t>DAP</t>
  </si>
  <si>
    <t>Red</t>
  </si>
  <si>
    <t>CID5</t>
  </si>
  <si>
    <t>West Bengal</t>
  </si>
  <si>
    <t>Kolkata</t>
  </si>
  <si>
    <t>Sugarcane</t>
  </si>
  <si>
    <t>Vermicompost</t>
  </si>
  <si>
    <t>CID6</t>
  </si>
  <si>
    <t>NPK</t>
  </si>
  <si>
    <t>CID7</t>
  </si>
  <si>
    <t>Mysore</t>
  </si>
  <si>
    <t>Laterite</t>
  </si>
  <si>
    <t>CID8</t>
  </si>
  <si>
    <t>Varanasi</t>
  </si>
  <si>
    <t>CID9</t>
  </si>
  <si>
    <t>Rice</t>
  </si>
  <si>
    <t>CID10</t>
  </si>
  <si>
    <t>CID11</t>
  </si>
  <si>
    <t>Bihar</t>
  </si>
  <si>
    <t>Patna</t>
  </si>
  <si>
    <t>Sandy</t>
  </si>
  <si>
    <t>CID12</t>
  </si>
  <si>
    <t>Gaya</t>
  </si>
  <si>
    <t>Wheat</t>
  </si>
  <si>
    <t>CID13</t>
  </si>
  <si>
    <t>CID14</t>
  </si>
  <si>
    <t>Darjeeling</t>
  </si>
  <si>
    <t>CID15</t>
  </si>
  <si>
    <t>Patiala</t>
  </si>
  <si>
    <t>Alluvial</t>
  </si>
  <si>
    <t>CID16</t>
  </si>
  <si>
    <t>Kanpur</t>
  </si>
  <si>
    <t>CID17</t>
  </si>
  <si>
    <t>CID18</t>
  </si>
  <si>
    <t>CID19</t>
  </si>
  <si>
    <t>CID20</t>
  </si>
  <si>
    <t>Hubli</t>
  </si>
  <si>
    <t>CID21</t>
  </si>
  <si>
    <t>CID22</t>
  </si>
  <si>
    <t>CID23</t>
  </si>
  <si>
    <t>CID24</t>
  </si>
  <si>
    <t>Nagpur</t>
  </si>
  <si>
    <t>CID25</t>
  </si>
  <si>
    <t>CID26</t>
  </si>
  <si>
    <t>CID27</t>
  </si>
  <si>
    <t>CID28</t>
  </si>
  <si>
    <t>Amritsar</t>
  </si>
  <si>
    <t>CID29</t>
  </si>
  <si>
    <t>CID30</t>
  </si>
  <si>
    <t>CID31</t>
  </si>
  <si>
    <t>CID32</t>
  </si>
  <si>
    <t>CID33</t>
  </si>
  <si>
    <t>Bhagalpur</t>
  </si>
  <si>
    <t>CID34</t>
  </si>
  <si>
    <t>CID35</t>
  </si>
  <si>
    <t>CID36</t>
  </si>
  <si>
    <t>CID37</t>
  </si>
  <si>
    <t>CID38</t>
  </si>
  <si>
    <t>Howrah</t>
  </si>
  <si>
    <t>CID39</t>
  </si>
  <si>
    <t>CID40</t>
  </si>
  <si>
    <t>CID41</t>
  </si>
  <si>
    <t>Haryana</t>
  </si>
  <si>
    <t>Gurgaon</t>
  </si>
  <si>
    <t>CID42</t>
  </si>
  <si>
    <t>CID43</t>
  </si>
  <si>
    <t>Faridabad</t>
  </si>
  <si>
    <t>CID44</t>
  </si>
  <si>
    <t>CID45</t>
  </si>
  <si>
    <t>CID46</t>
  </si>
  <si>
    <t>CID47</t>
  </si>
  <si>
    <t>CID48</t>
  </si>
  <si>
    <t>CID49</t>
  </si>
  <si>
    <t>CID50</t>
  </si>
  <si>
    <t>CID51</t>
  </si>
  <si>
    <t>CID52</t>
  </si>
  <si>
    <t>Mumbai</t>
  </si>
  <si>
    <t>CID53</t>
  </si>
  <si>
    <t>CID54</t>
  </si>
  <si>
    <t>CID55</t>
  </si>
  <si>
    <t>CID56</t>
  </si>
  <si>
    <t>CID57</t>
  </si>
  <si>
    <t>CID58</t>
  </si>
  <si>
    <t>CID59</t>
  </si>
  <si>
    <t>CID60</t>
  </si>
  <si>
    <t>CID61</t>
  </si>
  <si>
    <t>CID62</t>
  </si>
  <si>
    <t>CID63</t>
  </si>
  <si>
    <t>CID64</t>
  </si>
  <si>
    <t>CID65</t>
  </si>
  <si>
    <t>CID66</t>
  </si>
  <si>
    <t>CID67</t>
  </si>
  <si>
    <t>CID68</t>
  </si>
  <si>
    <t>CID69</t>
  </si>
  <si>
    <t>CID70</t>
  </si>
  <si>
    <t>CID71</t>
  </si>
  <si>
    <t>CID72</t>
  </si>
  <si>
    <t>CID73</t>
  </si>
  <si>
    <t>CID74</t>
  </si>
  <si>
    <t>CID75</t>
  </si>
  <si>
    <t>CID76</t>
  </si>
  <si>
    <t>CID77</t>
  </si>
  <si>
    <t>CID78</t>
  </si>
  <si>
    <t>CID79</t>
  </si>
  <si>
    <t>CID80</t>
  </si>
  <si>
    <t>CID81</t>
  </si>
  <si>
    <t>CID82</t>
  </si>
  <si>
    <t>CID83</t>
  </si>
  <si>
    <t>CID84</t>
  </si>
  <si>
    <t>CID85</t>
  </si>
  <si>
    <t>CID86</t>
  </si>
  <si>
    <t>CID87</t>
  </si>
  <si>
    <t>CID88</t>
  </si>
  <si>
    <t>CID89</t>
  </si>
  <si>
    <t>CID90</t>
  </si>
  <si>
    <t>CID91</t>
  </si>
  <si>
    <t>CID92</t>
  </si>
  <si>
    <t>CID93</t>
  </si>
  <si>
    <t>CID94</t>
  </si>
  <si>
    <t>CID95</t>
  </si>
  <si>
    <t>CID96</t>
  </si>
  <si>
    <t>CID97</t>
  </si>
  <si>
    <t>CID98</t>
  </si>
  <si>
    <t>CID99</t>
  </si>
  <si>
    <t>CID100</t>
  </si>
  <si>
    <t>CID101</t>
  </si>
  <si>
    <t>CID102</t>
  </si>
  <si>
    <t>CID103</t>
  </si>
  <si>
    <t>CID104</t>
  </si>
  <si>
    <t>CID105</t>
  </si>
  <si>
    <t>CID106</t>
  </si>
  <si>
    <t>CID107</t>
  </si>
  <si>
    <t>CID108</t>
  </si>
  <si>
    <t>CID109</t>
  </si>
  <si>
    <t>CID110</t>
  </si>
  <si>
    <t>CID111</t>
  </si>
  <si>
    <t>CID112</t>
  </si>
  <si>
    <t>CID113</t>
  </si>
  <si>
    <t>CID114</t>
  </si>
  <si>
    <t>CID115</t>
  </si>
  <si>
    <t>CID116</t>
  </si>
  <si>
    <t>CID117</t>
  </si>
  <si>
    <t>CID118</t>
  </si>
  <si>
    <t>CID119</t>
  </si>
  <si>
    <t>CID120</t>
  </si>
  <si>
    <t>CID121</t>
  </si>
  <si>
    <t>CID122</t>
  </si>
  <si>
    <t>CID123</t>
  </si>
  <si>
    <t>CID124</t>
  </si>
  <si>
    <t>CID125</t>
  </si>
  <si>
    <t>CID126</t>
  </si>
  <si>
    <t>CID127</t>
  </si>
  <si>
    <t>CID128</t>
  </si>
  <si>
    <t>CID129</t>
  </si>
  <si>
    <t>CID130</t>
  </si>
  <si>
    <t>CID131</t>
  </si>
  <si>
    <t>CID132</t>
  </si>
  <si>
    <t>CID133</t>
  </si>
  <si>
    <t>CID134</t>
  </si>
  <si>
    <t>CID135</t>
  </si>
  <si>
    <t>CID136</t>
  </si>
  <si>
    <t>CID137</t>
  </si>
  <si>
    <t>CID138</t>
  </si>
  <si>
    <t>CID139</t>
  </si>
  <si>
    <t>CID140</t>
  </si>
  <si>
    <t>CID141</t>
  </si>
  <si>
    <t>CID142</t>
  </si>
  <si>
    <t>CID143</t>
  </si>
  <si>
    <t>CID144</t>
  </si>
  <si>
    <t>CID145</t>
  </si>
  <si>
    <t>CID146</t>
  </si>
  <si>
    <t>CID147</t>
  </si>
  <si>
    <t>CID148</t>
  </si>
  <si>
    <t>CID149</t>
  </si>
  <si>
    <t>CID150</t>
  </si>
  <si>
    <t>CID151</t>
  </si>
  <si>
    <t>CID152</t>
  </si>
  <si>
    <t>CID153</t>
  </si>
  <si>
    <t>CID154</t>
  </si>
  <si>
    <t>CID155</t>
  </si>
  <si>
    <t>CID156</t>
  </si>
  <si>
    <t>CID157</t>
  </si>
  <si>
    <t>CID158</t>
  </si>
  <si>
    <t>CID159</t>
  </si>
  <si>
    <t>CID160</t>
  </si>
  <si>
    <t>CID161</t>
  </si>
  <si>
    <t>CID162</t>
  </si>
  <si>
    <t>Hisar</t>
  </si>
  <si>
    <t>CID163</t>
  </si>
  <si>
    <t>CID164</t>
  </si>
  <si>
    <t>CID165</t>
  </si>
  <si>
    <t>CID166</t>
  </si>
  <si>
    <t>CID167</t>
  </si>
  <si>
    <t>CID168</t>
  </si>
  <si>
    <t>CID169</t>
  </si>
  <si>
    <t>CID170</t>
  </si>
  <si>
    <t>CID171</t>
  </si>
  <si>
    <t>CID172</t>
  </si>
  <si>
    <t>CID173</t>
  </si>
  <si>
    <t>CID174</t>
  </si>
  <si>
    <t>CID175</t>
  </si>
  <si>
    <t>CID176</t>
  </si>
  <si>
    <t>CID177</t>
  </si>
  <si>
    <t>CID178</t>
  </si>
  <si>
    <t>CID179</t>
  </si>
  <si>
    <t>CID180</t>
  </si>
  <si>
    <t>CID181</t>
  </si>
  <si>
    <t>CID182</t>
  </si>
  <si>
    <t>CID183</t>
  </si>
  <si>
    <t>CID184</t>
  </si>
  <si>
    <t>CID185</t>
  </si>
  <si>
    <t>CID186</t>
  </si>
  <si>
    <t>CID187</t>
  </si>
  <si>
    <t>CID188</t>
  </si>
  <si>
    <t>CID189</t>
  </si>
  <si>
    <t>CID190</t>
  </si>
  <si>
    <t>CID191</t>
  </si>
  <si>
    <t>CID192</t>
  </si>
  <si>
    <t>CID193</t>
  </si>
  <si>
    <t>CID194</t>
  </si>
  <si>
    <t>CID195</t>
  </si>
  <si>
    <t>CID196</t>
  </si>
  <si>
    <t>CID197</t>
  </si>
  <si>
    <t>CID198</t>
  </si>
  <si>
    <t>CID199</t>
  </si>
  <si>
    <t>CID200</t>
  </si>
  <si>
    <t>CID201</t>
  </si>
  <si>
    <t>CID202</t>
  </si>
  <si>
    <t>CID203</t>
  </si>
  <si>
    <t>CID204</t>
  </si>
  <si>
    <t>CID205</t>
  </si>
  <si>
    <t>CID206</t>
  </si>
  <si>
    <t>CID207</t>
  </si>
  <si>
    <t>CID208</t>
  </si>
  <si>
    <t>CID209</t>
  </si>
  <si>
    <t>CID210</t>
  </si>
  <si>
    <t>CID211</t>
  </si>
  <si>
    <t>CID212</t>
  </si>
  <si>
    <t>CID213</t>
  </si>
  <si>
    <t>CID214</t>
  </si>
  <si>
    <t>CID215</t>
  </si>
  <si>
    <t>CID216</t>
  </si>
  <si>
    <t>CID217</t>
  </si>
  <si>
    <t>CID218</t>
  </si>
  <si>
    <t>CID219</t>
  </si>
  <si>
    <t>CID220</t>
  </si>
  <si>
    <t>CID221</t>
  </si>
  <si>
    <t>CID222</t>
  </si>
  <si>
    <t>CID223</t>
  </si>
  <si>
    <t>CID224</t>
  </si>
  <si>
    <t>CID225</t>
  </si>
  <si>
    <t>CID226</t>
  </si>
  <si>
    <t>CID227</t>
  </si>
  <si>
    <t>CID228</t>
  </si>
  <si>
    <t>CID229</t>
  </si>
  <si>
    <t>CID230</t>
  </si>
  <si>
    <t>CID231</t>
  </si>
  <si>
    <t>CID232</t>
  </si>
  <si>
    <t>CID233</t>
  </si>
  <si>
    <t>CID234</t>
  </si>
  <si>
    <t>CID235</t>
  </si>
  <si>
    <t>CID236</t>
  </si>
  <si>
    <t>CID237</t>
  </si>
  <si>
    <t>CID238</t>
  </si>
  <si>
    <t>CID239</t>
  </si>
  <si>
    <t>CID240</t>
  </si>
  <si>
    <t>CID241</t>
  </si>
  <si>
    <t>CID242</t>
  </si>
  <si>
    <t>CID243</t>
  </si>
  <si>
    <t>CID244</t>
  </si>
  <si>
    <t>CID245</t>
  </si>
  <si>
    <t>CID246</t>
  </si>
  <si>
    <t>CID247</t>
  </si>
  <si>
    <t>CID248</t>
  </si>
  <si>
    <t>CID249</t>
  </si>
  <si>
    <t>CID250</t>
  </si>
  <si>
    <t>CID251</t>
  </si>
  <si>
    <t>CID252</t>
  </si>
  <si>
    <t>CID253</t>
  </si>
  <si>
    <t>CID254</t>
  </si>
  <si>
    <t>CID255</t>
  </si>
  <si>
    <t>CID256</t>
  </si>
  <si>
    <t>CID257</t>
  </si>
  <si>
    <t>CID258</t>
  </si>
  <si>
    <t>CID259</t>
  </si>
  <si>
    <t>CID260</t>
  </si>
  <si>
    <t>CID261</t>
  </si>
  <si>
    <t>CID262</t>
  </si>
  <si>
    <t>CID263</t>
  </si>
  <si>
    <t>CID264</t>
  </si>
  <si>
    <t>CID265</t>
  </si>
  <si>
    <t>CID266</t>
  </si>
  <si>
    <t>CID267</t>
  </si>
  <si>
    <t>CID268</t>
  </si>
  <si>
    <t>CID269</t>
  </si>
  <si>
    <t>CID270</t>
  </si>
  <si>
    <t>CID271</t>
  </si>
  <si>
    <t>CID272</t>
  </si>
  <si>
    <t>CID273</t>
  </si>
  <si>
    <t>CID274</t>
  </si>
  <si>
    <t>CID275</t>
  </si>
  <si>
    <t>CID276</t>
  </si>
  <si>
    <t>CID277</t>
  </si>
  <si>
    <t>CID278</t>
  </si>
  <si>
    <t>CID279</t>
  </si>
  <si>
    <t>CID280</t>
  </si>
  <si>
    <t>CID281</t>
  </si>
  <si>
    <t>CID282</t>
  </si>
  <si>
    <t>CID283</t>
  </si>
  <si>
    <t>CID284</t>
  </si>
  <si>
    <t>CID285</t>
  </si>
  <si>
    <t>CID286</t>
  </si>
  <si>
    <t>CID287</t>
  </si>
  <si>
    <t>CID288</t>
  </si>
  <si>
    <t>CID289</t>
  </si>
  <si>
    <t>CID290</t>
  </si>
  <si>
    <t>CID291</t>
  </si>
  <si>
    <t>CID292</t>
  </si>
  <si>
    <t>CID293</t>
  </si>
  <si>
    <t>CID294</t>
  </si>
  <si>
    <t>CID295</t>
  </si>
  <si>
    <t>CID296</t>
  </si>
  <si>
    <t>CID297</t>
  </si>
  <si>
    <t>CID298</t>
  </si>
  <si>
    <t>CID299</t>
  </si>
  <si>
    <t>CID300</t>
  </si>
  <si>
    <t>CID301</t>
  </si>
  <si>
    <t>CID302</t>
  </si>
  <si>
    <t>CID303</t>
  </si>
  <si>
    <t>CID304</t>
  </si>
  <si>
    <t>CID305</t>
  </si>
  <si>
    <t>CID306</t>
  </si>
  <si>
    <t>CID307</t>
  </si>
  <si>
    <t>CID308</t>
  </si>
  <si>
    <t>CID309</t>
  </si>
  <si>
    <t>CID310</t>
  </si>
  <si>
    <t>CID311</t>
  </si>
  <si>
    <t>CID312</t>
  </si>
  <si>
    <t>CID313</t>
  </si>
  <si>
    <t>CID314</t>
  </si>
  <si>
    <t>CID315</t>
  </si>
  <si>
    <t>CID316</t>
  </si>
  <si>
    <t>CID317</t>
  </si>
  <si>
    <t>CID318</t>
  </si>
  <si>
    <t>CID319</t>
  </si>
  <si>
    <t>CID320</t>
  </si>
  <si>
    <t>CID321</t>
  </si>
  <si>
    <t>CID322</t>
  </si>
  <si>
    <t>CID323</t>
  </si>
  <si>
    <t>CID324</t>
  </si>
  <si>
    <t>CID325</t>
  </si>
  <si>
    <t>CID326</t>
  </si>
  <si>
    <t>CID327</t>
  </si>
  <si>
    <t>CID328</t>
  </si>
  <si>
    <t>CID329</t>
  </si>
  <si>
    <t>CID330</t>
  </si>
  <si>
    <t>CID331</t>
  </si>
  <si>
    <t>CID332</t>
  </si>
  <si>
    <t>CID333</t>
  </si>
  <si>
    <t>CID334</t>
  </si>
  <si>
    <t>CID335</t>
  </si>
  <si>
    <t>CID336</t>
  </si>
  <si>
    <t>CID337</t>
  </si>
  <si>
    <t>CID338</t>
  </si>
  <si>
    <t>CID339</t>
  </si>
  <si>
    <t>CID340</t>
  </si>
  <si>
    <t>CID341</t>
  </si>
  <si>
    <t>CID342</t>
  </si>
  <si>
    <t>CID343</t>
  </si>
  <si>
    <t>CID344</t>
  </si>
  <si>
    <t>CID345</t>
  </si>
  <si>
    <t>CID346</t>
  </si>
  <si>
    <t>CID347</t>
  </si>
  <si>
    <t>CID348</t>
  </si>
  <si>
    <t>CID349</t>
  </si>
  <si>
    <t>CID350</t>
  </si>
  <si>
    <t>CID351</t>
  </si>
  <si>
    <t>CID352</t>
  </si>
  <si>
    <t>CID353</t>
  </si>
  <si>
    <t>CID354</t>
  </si>
  <si>
    <t>CID355</t>
  </si>
  <si>
    <t>CID356</t>
  </si>
  <si>
    <t>CID357</t>
  </si>
  <si>
    <t>CID358</t>
  </si>
  <si>
    <t>CID359</t>
  </si>
  <si>
    <t>CID360</t>
  </si>
  <si>
    <t>CID361</t>
  </si>
  <si>
    <t>CID362</t>
  </si>
  <si>
    <t>CID363</t>
  </si>
  <si>
    <t>CID364</t>
  </si>
  <si>
    <t>CID365</t>
  </si>
  <si>
    <t>CID366</t>
  </si>
  <si>
    <t>CID367</t>
  </si>
  <si>
    <t>CID368</t>
  </si>
  <si>
    <t>CID369</t>
  </si>
  <si>
    <t>CID370</t>
  </si>
  <si>
    <t>CID371</t>
  </si>
  <si>
    <t>CID372</t>
  </si>
  <si>
    <t>CID373</t>
  </si>
  <si>
    <t>CID374</t>
  </si>
  <si>
    <t>CID375</t>
  </si>
  <si>
    <t>CID376</t>
  </si>
  <si>
    <t>CID377</t>
  </si>
  <si>
    <t>CID378</t>
  </si>
  <si>
    <t>CID379</t>
  </si>
  <si>
    <t>CID380</t>
  </si>
  <si>
    <t>CID381</t>
  </si>
  <si>
    <t>CID382</t>
  </si>
  <si>
    <t>CID383</t>
  </si>
  <si>
    <t>CID384</t>
  </si>
  <si>
    <t>CID385</t>
  </si>
  <si>
    <t>CID386</t>
  </si>
  <si>
    <t>CID387</t>
  </si>
  <si>
    <t>CID388</t>
  </si>
  <si>
    <t>CID389</t>
  </si>
  <si>
    <t>CID390</t>
  </si>
  <si>
    <t>CID391</t>
  </si>
  <si>
    <t>CID392</t>
  </si>
  <si>
    <t>CID393</t>
  </si>
  <si>
    <t>CID394</t>
  </si>
  <si>
    <t>CID395</t>
  </si>
  <si>
    <t>CID396</t>
  </si>
  <si>
    <t>CID397</t>
  </si>
  <si>
    <t>CID398</t>
  </si>
  <si>
    <t>CID399</t>
  </si>
  <si>
    <t>CID400</t>
  </si>
  <si>
    <t>CID401</t>
  </si>
  <si>
    <t>CID402</t>
  </si>
  <si>
    <t>CID403</t>
  </si>
  <si>
    <t>CID404</t>
  </si>
  <si>
    <t>CID405</t>
  </si>
  <si>
    <t>CID406</t>
  </si>
  <si>
    <t>CID407</t>
  </si>
  <si>
    <t>CID408</t>
  </si>
  <si>
    <t>CID409</t>
  </si>
  <si>
    <t>CID410</t>
  </si>
  <si>
    <t>CID411</t>
  </si>
  <si>
    <t>CID412</t>
  </si>
  <si>
    <t>CID413</t>
  </si>
  <si>
    <t>CID414</t>
  </si>
  <si>
    <t>CID415</t>
  </si>
  <si>
    <t>CID416</t>
  </si>
  <si>
    <t>CID417</t>
  </si>
  <si>
    <t>CID418</t>
  </si>
  <si>
    <t>CID419</t>
  </si>
  <si>
    <t>CID420</t>
  </si>
  <si>
    <t>CID421</t>
  </si>
  <si>
    <t>CID422</t>
  </si>
  <si>
    <t>CID423</t>
  </si>
  <si>
    <t>CID424</t>
  </si>
  <si>
    <t>CID425</t>
  </si>
  <si>
    <t>CID426</t>
  </si>
  <si>
    <t>CID427</t>
  </si>
  <si>
    <t>CID428</t>
  </si>
  <si>
    <t>CID429</t>
  </si>
  <si>
    <t>CID430</t>
  </si>
  <si>
    <t>CID431</t>
  </si>
  <si>
    <t>CID432</t>
  </si>
  <si>
    <t>CID433</t>
  </si>
  <si>
    <t>CID434</t>
  </si>
  <si>
    <t>CID435</t>
  </si>
  <si>
    <t>CID436</t>
  </si>
  <si>
    <t>CID437</t>
  </si>
  <si>
    <t>CID438</t>
  </si>
  <si>
    <t>CID439</t>
  </si>
  <si>
    <t>CID440</t>
  </si>
  <si>
    <t>CID441</t>
  </si>
  <si>
    <t>CID442</t>
  </si>
  <si>
    <t>CID443</t>
  </si>
  <si>
    <t>CID444</t>
  </si>
  <si>
    <t>CID445</t>
  </si>
  <si>
    <t>CID446</t>
  </si>
  <si>
    <t>CID447</t>
  </si>
  <si>
    <t>CID448</t>
  </si>
  <si>
    <t>CID449</t>
  </si>
  <si>
    <t>CID450</t>
  </si>
  <si>
    <t>CID451</t>
  </si>
  <si>
    <t>CID452</t>
  </si>
  <si>
    <t>CID453</t>
  </si>
  <si>
    <t>CID454</t>
  </si>
  <si>
    <t>CID455</t>
  </si>
  <si>
    <t>CID456</t>
  </si>
  <si>
    <t>CID457</t>
  </si>
  <si>
    <t>CID458</t>
  </si>
  <si>
    <t>CID459</t>
  </si>
  <si>
    <t>CID460</t>
  </si>
  <si>
    <t>CID461</t>
  </si>
  <si>
    <t>CID462</t>
  </si>
  <si>
    <t>CID463</t>
  </si>
  <si>
    <t>CID464</t>
  </si>
  <si>
    <t>CID465</t>
  </si>
  <si>
    <t>CID466</t>
  </si>
  <si>
    <t>CID467</t>
  </si>
  <si>
    <t>CID468</t>
  </si>
  <si>
    <t>CID469</t>
  </si>
  <si>
    <t>CID470</t>
  </si>
  <si>
    <t>CID471</t>
  </si>
  <si>
    <t>CID472</t>
  </si>
  <si>
    <t>CID473</t>
  </si>
  <si>
    <t>CID474</t>
  </si>
  <si>
    <t>CID475</t>
  </si>
  <si>
    <t>CID476</t>
  </si>
  <si>
    <t>CID477</t>
  </si>
  <si>
    <t>CID478</t>
  </si>
  <si>
    <t>CID479</t>
  </si>
  <si>
    <t>CID480</t>
  </si>
  <si>
    <t>CID481</t>
  </si>
  <si>
    <t>CID482</t>
  </si>
  <si>
    <t>CID483</t>
  </si>
  <si>
    <t>CID484</t>
  </si>
  <si>
    <t>CID485</t>
  </si>
  <si>
    <t>CID486</t>
  </si>
  <si>
    <t>CID487</t>
  </si>
  <si>
    <t>CID488</t>
  </si>
  <si>
    <t>CID489</t>
  </si>
  <si>
    <t>CID490</t>
  </si>
  <si>
    <t>CID491</t>
  </si>
  <si>
    <t>CID492</t>
  </si>
  <si>
    <t>CID493</t>
  </si>
  <si>
    <t>CID494</t>
  </si>
  <si>
    <t>CID495</t>
  </si>
  <si>
    <t>CID496</t>
  </si>
  <si>
    <t>CID497</t>
  </si>
  <si>
    <t>CID498</t>
  </si>
  <si>
    <t>CID499</t>
  </si>
  <si>
    <t>CID500</t>
  </si>
  <si>
    <t>Year-Month</t>
  </si>
  <si>
    <t>Yield per Acre</t>
  </si>
  <si>
    <t>Row Labels</t>
  </si>
  <si>
    <t>Grand Total</t>
  </si>
  <si>
    <t>Sum of Yield (Kg/Ha)</t>
  </si>
  <si>
    <t>2010-04</t>
  </si>
  <si>
    <t>2010-05</t>
  </si>
  <si>
    <t>2010-07</t>
  </si>
  <si>
    <t>2010-08</t>
  </si>
  <si>
    <t>2010-09</t>
  </si>
  <si>
    <t>2010-10</t>
  </si>
  <si>
    <t>2010-11</t>
  </si>
  <si>
    <t>2010-12</t>
  </si>
  <si>
    <t>2011-01</t>
  </si>
  <si>
    <t>2011-02</t>
  </si>
  <si>
    <t>2011-03</t>
  </si>
  <si>
    <t>2011-04</t>
  </si>
  <si>
    <t>2011-05</t>
  </si>
  <si>
    <t>2011-06</t>
  </si>
  <si>
    <t>2011-07</t>
  </si>
  <si>
    <t>2011-08</t>
  </si>
  <si>
    <t>2011-09</t>
  </si>
  <si>
    <t>2011-10</t>
  </si>
  <si>
    <t>2011-11</t>
  </si>
  <si>
    <t>2011-12</t>
  </si>
  <si>
    <t>2012-01</t>
  </si>
  <si>
    <t>2012-03</t>
  </si>
  <si>
    <t>2012-04</t>
  </si>
  <si>
    <t>2012-05</t>
  </si>
  <si>
    <t>2012-07</t>
  </si>
  <si>
    <t>2012-08</t>
  </si>
  <si>
    <t>2012-09</t>
  </si>
  <si>
    <t>2012-10</t>
  </si>
  <si>
    <t>2012-11</t>
  </si>
  <si>
    <t>2012-12</t>
  </si>
  <si>
    <t>2013-01</t>
  </si>
  <si>
    <t>2013-02</t>
  </si>
  <si>
    <t>2013-03</t>
  </si>
  <si>
    <t>2013-04</t>
  </si>
  <si>
    <t>2013-05</t>
  </si>
  <si>
    <t>2013-06</t>
  </si>
  <si>
    <t>2013-07</t>
  </si>
  <si>
    <t>2013-08</t>
  </si>
  <si>
    <t>2013-09</t>
  </si>
  <si>
    <t>2013-10</t>
  </si>
  <si>
    <t>2013-11</t>
  </si>
  <si>
    <t>2013-12</t>
  </si>
  <si>
    <t>2014-01</t>
  </si>
  <si>
    <t>2014-02</t>
  </si>
  <si>
    <t>2014-03</t>
  </si>
  <si>
    <t>2014-04</t>
  </si>
  <si>
    <t>2014-05</t>
  </si>
  <si>
    <t>2014-06</t>
  </si>
  <si>
    <t>2014-07</t>
  </si>
  <si>
    <t>2014-08</t>
  </si>
  <si>
    <t>2014-09</t>
  </si>
  <si>
    <t>2014-10</t>
  </si>
  <si>
    <t>2014-11</t>
  </si>
  <si>
    <t>2014-12</t>
  </si>
  <si>
    <t>2015-01</t>
  </si>
  <si>
    <t>2015-02</t>
  </si>
  <si>
    <t>2015-03</t>
  </si>
  <si>
    <t>2015-04</t>
  </si>
  <si>
    <t>2015-05</t>
  </si>
  <si>
    <t>2015-06</t>
  </si>
  <si>
    <t>2015-07</t>
  </si>
  <si>
    <t>2015-08</t>
  </si>
  <si>
    <t>2015-10</t>
  </si>
  <si>
    <t>2015-11</t>
  </si>
  <si>
    <t>2015-12</t>
  </si>
  <si>
    <t>2016-01</t>
  </si>
  <si>
    <t>2016-02</t>
  </si>
  <si>
    <t>2016-03</t>
  </si>
  <si>
    <t>2016-04</t>
  </si>
  <si>
    <t>2016-05</t>
  </si>
  <si>
    <t>2016-07</t>
  </si>
  <si>
    <t>2016-08</t>
  </si>
  <si>
    <t>2016-09</t>
  </si>
  <si>
    <t>2016-10</t>
  </si>
  <si>
    <t>2016-11</t>
  </si>
  <si>
    <t>2016-12</t>
  </si>
  <si>
    <t>2017-01</t>
  </si>
  <si>
    <t>2017-02</t>
  </si>
  <si>
    <t>2017-04</t>
  </si>
  <si>
    <t>2017-05</t>
  </si>
  <si>
    <t>2017-06</t>
  </si>
  <si>
    <t>2017-07</t>
  </si>
  <si>
    <t>2017-08</t>
  </si>
  <si>
    <t>2017-09</t>
  </si>
  <si>
    <t>2017-10</t>
  </si>
  <si>
    <t>2017-11</t>
  </si>
  <si>
    <t>2017-12</t>
  </si>
  <si>
    <t>2018-01</t>
  </si>
  <si>
    <t>2018-02</t>
  </si>
  <si>
    <t>2018-03</t>
  </si>
  <si>
    <t>2018-04</t>
  </si>
  <si>
    <t>2018-05</t>
  </si>
  <si>
    <t>2018-06</t>
  </si>
  <si>
    <t>2018-07</t>
  </si>
  <si>
    <t>2018-08</t>
  </si>
  <si>
    <t>2018-09</t>
  </si>
  <si>
    <t>2018-10</t>
  </si>
  <si>
    <t>2018-11</t>
  </si>
  <si>
    <t>2018-12</t>
  </si>
  <si>
    <t>2019-01</t>
  </si>
  <si>
    <t>2019-02</t>
  </si>
  <si>
    <t>2019-03</t>
  </si>
  <si>
    <t>2019-04</t>
  </si>
  <si>
    <t>2019-05</t>
  </si>
  <si>
    <t>2019-06</t>
  </si>
  <si>
    <t>2019-07</t>
  </si>
  <si>
    <t>2019-08</t>
  </si>
  <si>
    <t>2019-09</t>
  </si>
  <si>
    <t>2019-10</t>
  </si>
  <si>
    <t>2019-11</t>
  </si>
  <si>
    <t>2019-12</t>
  </si>
  <si>
    <t>2020-02</t>
  </si>
  <si>
    <t>2020-03</t>
  </si>
  <si>
    <t>2020-04</t>
  </si>
  <si>
    <t>2020-05</t>
  </si>
  <si>
    <t>2020-06</t>
  </si>
  <si>
    <t>2020-07</t>
  </si>
  <si>
    <t>2020-08</t>
  </si>
  <si>
    <t>2020-09</t>
  </si>
  <si>
    <t>2020-11</t>
  </si>
  <si>
    <t>2021-01</t>
  </si>
  <si>
    <t>2021-02</t>
  </si>
  <si>
    <t>2021-03</t>
  </si>
  <si>
    <t>2021-04</t>
  </si>
  <si>
    <t>2021-05</t>
  </si>
  <si>
    <t>2021-06</t>
  </si>
  <si>
    <t>2021-07</t>
  </si>
  <si>
    <t>2021-08</t>
  </si>
  <si>
    <t>2021-09</t>
  </si>
  <si>
    <t>2021-10</t>
  </si>
  <si>
    <t>2021-11</t>
  </si>
  <si>
    <t>2021-12</t>
  </si>
  <si>
    <t>2022-02</t>
  </si>
  <si>
    <t>2022-03</t>
  </si>
  <si>
    <t>2022-04</t>
  </si>
  <si>
    <t>2022-05</t>
  </si>
  <si>
    <t>2022-06</t>
  </si>
  <si>
    <t>2022-07</t>
  </si>
  <si>
    <t>2022-08</t>
  </si>
  <si>
    <t>2022-09</t>
  </si>
  <si>
    <t>2022-10</t>
  </si>
  <si>
    <t>2022-11</t>
  </si>
  <si>
    <t>2023-01</t>
  </si>
  <si>
    <t>2023-02</t>
  </si>
  <si>
    <t>2023-03</t>
  </si>
  <si>
    <t>Sum of Yield per Acre</t>
  </si>
  <si>
    <t>Average of Yield per Acre</t>
  </si>
  <si>
    <t>Column Labels</t>
  </si>
  <si>
    <t>Average of Yield (Kg/Ha)</t>
  </si>
  <si>
    <t>Sum of Fertilizer Used (Kg)</t>
  </si>
  <si>
    <t>Sum of Area (Hectares)</t>
  </si>
  <si>
    <t>AGRICULTURAL CROP YIELD</t>
  </si>
  <si>
    <t>Failure Flag</t>
  </si>
  <si>
    <t>(blank)</t>
  </si>
  <si>
    <t>Success</t>
  </si>
  <si>
    <t>Count of Failure Flag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</si>
</sst>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1"/>
      <name val="Calibri"/>
      <family val="2"/>
      <scheme val="minor"/>
    </font>
    <font>
      <b/>
      <sz val="36"/>
      <color rgb="FF00206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49" fontId="0" fillId="0" borderId="0" xfId="0" applyNumberFormat="1"/>
    <xf numFmtId="2" fontId="0" fillId="0" borderId="0" xfId="0" applyNumberFormat="1"/>
    <xf numFmtId="0" fontId="0" fillId="0" borderId="0" xfId="0" pivotButton="1"/>
    <xf numFmtId="0" fontId="0" fillId="0" borderId="0" xfId="0" applyAlignment="1">
      <alignment horizontal="left"/>
    </xf>
    <xf numFmtId="2" fontId="0" fillId="0" borderId="0" xfId="0" applyNumberFormat="1" applyAlignment="1">
      <alignment horizontal="left"/>
    </xf>
    <xf numFmtId="0" fontId="0" fillId="33" borderId="0" xfId="0" applyFill="1"/>
    <xf numFmtId="0" fontId="18" fillId="33" borderId="0" xfId="0" applyFont="1" applyFill="1"/>
    <xf numFmtId="0" fontId="19"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2.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[Agricultural_Crop_Yield_new.xlsx]Pivot Tables!PivotTable1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Tables'!$A$4:$A$11</c:f>
              <c:strCache>
                <c:ptCount val="7"/>
                <c:pt idx="0">
                  <c:v>Bihar</c:v>
                </c:pt>
                <c:pt idx="1">
                  <c:v>Haryana</c:v>
                </c:pt>
                <c:pt idx="2">
                  <c:v>Karnataka</c:v>
                </c:pt>
                <c:pt idx="3">
                  <c:v>Maharashtra</c:v>
                </c:pt>
                <c:pt idx="4">
                  <c:v>Punjab</c:v>
                </c:pt>
                <c:pt idx="5">
                  <c:v>Uttar Pradesh</c:v>
                </c:pt>
                <c:pt idx="6">
                  <c:v>West Bengal</c:v>
                </c:pt>
              </c:strCache>
            </c:strRef>
          </c:cat>
          <c:val>
            <c:numRef>
              <c:f>'Pivot Tables'!$B$4:$B$11</c:f>
              <c:numCache>
                <c:formatCode>0.00</c:formatCode>
                <c:ptCount val="7"/>
                <c:pt idx="0">
                  <c:v>305326.59999999992</c:v>
                </c:pt>
                <c:pt idx="1">
                  <c:v>285242.09999999998</c:v>
                </c:pt>
                <c:pt idx="2">
                  <c:v>243159.52999999997</c:v>
                </c:pt>
                <c:pt idx="3">
                  <c:v>312625.69000000006</c:v>
                </c:pt>
                <c:pt idx="4">
                  <c:v>273696.80999999988</c:v>
                </c:pt>
                <c:pt idx="5">
                  <c:v>286474.08999999991</c:v>
                </c:pt>
                <c:pt idx="6">
                  <c:v>290829.0799999999</c:v>
                </c:pt>
              </c:numCache>
            </c:numRef>
          </c:val>
          <c:extLst>
            <c:ext xmlns:c16="http://schemas.microsoft.com/office/drawing/2014/chart" uri="{C3380CC4-5D6E-409C-BE32-E72D297353CC}">
              <c16:uniqueId val="{00000000-CDA5-4C6F-9B40-48422C52EE2D}"/>
            </c:ext>
          </c:extLst>
        </c:ser>
        <c:dLbls>
          <c:showLegendKey val="0"/>
          <c:showVal val="0"/>
          <c:showCatName val="0"/>
          <c:showSerName val="0"/>
          <c:showPercent val="0"/>
          <c:showBubbleSize val="0"/>
        </c:dLbls>
        <c:gapWidth val="182"/>
        <c:axId val="1315401328"/>
        <c:axId val="1315401808"/>
      </c:barChart>
      <c:catAx>
        <c:axId val="1315401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401808"/>
        <c:crosses val="autoZero"/>
        <c:auto val="1"/>
        <c:lblAlgn val="ctr"/>
        <c:lblOffset val="100"/>
        <c:noMultiLvlLbl val="0"/>
      </c:catAx>
      <c:valAx>
        <c:axId val="131540180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401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[Agricultural_Crop_Yield_new.xlsx]Pivot Tables!PivotTable2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Tables'!$B$13</c:f>
              <c:strCache>
                <c:ptCount val="1"/>
                <c:pt idx="0">
                  <c:v>Total</c:v>
                </c:pt>
              </c:strCache>
            </c:strRef>
          </c:tx>
          <c:spPr>
            <a:solidFill>
              <a:schemeClr val="accent1"/>
            </a:solidFill>
            <a:ln>
              <a:noFill/>
            </a:ln>
            <a:effectLst/>
          </c:spPr>
          <c:invertIfNegative val="0"/>
          <c:cat>
            <c:strRef>
              <c:f>'Pivot Tables'!$A$14:$A$21</c:f>
              <c:strCache>
                <c:ptCount val="7"/>
                <c:pt idx="0">
                  <c:v>Maharashtra</c:v>
                </c:pt>
                <c:pt idx="1">
                  <c:v>Bihar</c:v>
                </c:pt>
                <c:pt idx="2">
                  <c:v>West Bengal</c:v>
                </c:pt>
                <c:pt idx="3">
                  <c:v>Uttar Pradesh</c:v>
                </c:pt>
                <c:pt idx="4">
                  <c:v>Haryana</c:v>
                </c:pt>
                <c:pt idx="5">
                  <c:v>Punjab</c:v>
                </c:pt>
                <c:pt idx="6">
                  <c:v>Karnataka</c:v>
                </c:pt>
              </c:strCache>
            </c:strRef>
          </c:cat>
          <c:val>
            <c:numRef>
              <c:f>'Pivot Tables'!$B$14:$B$21</c:f>
              <c:numCache>
                <c:formatCode>0.00</c:formatCode>
                <c:ptCount val="7"/>
                <c:pt idx="0">
                  <c:v>312625.69000000006</c:v>
                </c:pt>
                <c:pt idx="1">
                  <c:v>305326.59999999992</c:v>
                </c:pt>
                <c:pt idx="2">
                  <c:v>290829.0799999999</c:v>
                </c:pt>
                <c:pt idx="3">
                  <c:v>286474.08999999991</c:v>
                </c:pt>
                <c:pt idx="4">
                  <c:v>285242.09999999998</c:v>
                </c:pt>
                <c:pt idx="5">
                  <c:v>273696.80999999988</c:v>
                </c:pt>
                <c:pt idx="6">
                  <c:v>243159.52999999997</c:v>
                </c:pt>
              </c:numCache>
            </c:numRef>
          </c:val>
          <c:extLst>
            <c:ext xmlns:c16="http://schemas.microsoft.com/office/drawing/2014/chart" uri="{C3380CC4-5D6E-409C-BE32-E72D297353CC}">
              <c16:uniqueId val="{00000000-D1D2-4CE6-B874-AFB1C94D7F48}"/>
            </c:ext>
          </c:extLst>
        </c:ser>
        <c:dLbls>
          <c:showLegendKey val="0"/>
          <c:showVal val="0"/>
          <c:showCatName val="0"/>
          <c:showSerName val="0"/>
          <c:showPercent val="0"/>
          <c:showBubbleSize val="0"/>
        </c:dLbls>
        <c:gapWidth val="219"/>
        <c:overlap val="-27"/>
        <c:axId val="1668101968"/>
        <c:axId val="1668102928"/>
      </c:barChart>
      <c:catAx>
        <c:axId val="1668101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102928"/>
        <c:crosses val="autoZero"/>
        <c:auto val="1"/>
        <c:lblAlgn val="ctr"/>
        <c:lblOffset val="100"/>
        <c:noMultiLvlLbl val="0"/>
      </c:catAx>
      <c:valAx>
        <c:axId val="16681029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101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[Agricultural_Crop_Yield_new.xlsx]Pivot Tables!PivotTable3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Tables'!$B$23</c:f>
              <c:strCache>
                <c:ptCount val="1"/>
                <c:pt idx="0">
                  <c:v>Total</c:v>
                </c:pt>
              </c:strCache>
            </c:strRef>
          </c:tx>
          <c:spPr>
            <a:solidFill>
              <a:schemeClr val="accent1"/>
            </a:solidFill>
            <a:ln>
              <a:noFill/>
            </a:ln>
            <a:effectLst/>
          </c:spPr>
          <c:cat>
            <c:strRef>
              <c:f>'Pivot Tables'!$A$24:$A$169</c:f>
              <c:strCache>
                <c:ptCount val="145"/>
                <c:pt idx="0">
                  <c:v>2010-04</c:v>
                </c:pt>
                <c:pt idx="1">
                  <c:v>2010-05</c:v>
                </c:pt>
                <c:pt idx="2">
                  <c:v>2010-07</c:v>
                </c:pt>
                <c:pt idx="3">
                  <c:v>2010-08</c:v>
                </c:pt>
                <c:pt idx="4">
                  <c:v>2010-09</c:v>
                </c:pt>
                <c:pt idx="5">
                  <c:v>2010-10</c:v>
                </c:pt>
                <c:pt idx="6">
                  <c:v>2010-11</c:v>
                </c:pt>
                <c:pt idx="7">
                  <c:v>2010-12</c:v>
                </c:pt>
                <c:pt idx="8">
                  <c:v>2011-01</c:v>
                </c:pt>
                <c:pt idx="9">
                  <c:v>2011-02</c:v>
                </c:pt>
                <c:pt idx="10">
                  <c:v>2011-03</c:v>
                </c:pt>
                <c:pt idx="11">
                  <c:v>2011-04</c:v>
                </c:pt>
                <c:pt idx="12">
                  <c:v>2011-05</c:v>
                </c:pt>
                <c:pt idx="13">
                  <c:v>2011-06</c:v>
                </c:pt>
                <c:pt idx="14">
                  <c:v>2011-07</c:v>
                </c:pt>
                <c:pt idx="15">
                  <c:v>2011-08</c:v>
                </c:pt>
                <c:pt idx="16">
                  <c:v>2011-09</c:v>
                </c:pt>
                <c:pt idx="17">
                  <c:v>2011-10</c:v>
                </c:pt>
                <c:pt idx="18">
                  <c:v>2011-11</c:v>
                </c:pt>
                <c:pt idx="19">
                  <c:v>2011-12</c:v>
                </c:pt>
                <c:pt idx="20">
                  <c:v>2012-01</c:v>
                </c:pt>
                <c:pt idx="21">
                  <c:v>2012-03</c:v>
                </c:pt>
                <c:pt idx="22">
                  <c:v>2012-04</c:v>
                </c:pt>
                <c:pt idx="23">
                  <c:v>2012-05</c:v>
                </c:pt>
                <c:pt idx="24">
                  <c:v>2012-07</c:v>
                </c:pt>
                <c:pt idx="25">
                  <c:v>2012-08</c:v>
                </c:pt>
                <c:pt idx="26">
                  <c:v>2012-09</c:v>
                </c:pt>
                <c:pt idx="27">
                  <c:v>2012-10</c:v>
                </c:pt>
                <c:pt idx="28">
                  <c:v>2012-11</c:v>
                </c:pt>
                <c:pt idx="29">
                  <c:v>2012-12</c:v>
                </c:pt>
                <c:pt idx="30">
                  <c:v>2013-01</c:v>
                </c:pt>
                <c:pt idx="31">
                  <c:v>2013-02</c:v>
                </c:pt>
                <c:pt idx="32">
                  <c:v>2013-03</c:v>
                </c:pt>
                <c:pt idx="33">
                  <c:v>2013-04</c:v>
                </c:pt>
                <c:pt idx="34">
                  <c:v>2013-05</c:v>
                </c:pt>
                <c:pt idx="35">
                  <c:v>2013-06</c:v>
                </c:pt>
                <c:pt idx="36">
                  <c:v>2013-07</c:v>
                </c:pt>
                <c:pt idx="37">
                  <c:v>2013-08</c:v>
                </c:pt>
                <c:pt idx="38">
                  <c:v>2013-09</c:v>
                </c:pt>
                <c:pt idx="39">
                  <c:v>2013-10</c:v>
                </c:pt>
                <c:pt idx="40">
                  <c:v>2013-11</c:v>
                </c:pt>
                <c:pt idx="41">
                  <c:v>2013-12</c:v>
                </c:pt>
                <c:pt idx="42">
                  <c:v>2014-01</c:v>
                </c:pt>
                <c:pt idx="43">
                  <c:v>2014-02</c:v>
                </c:pt>
                <c:pt idx="44">
                  <c:v>2014-03</c:v>
                </c:pt>
                <c:pt idx="45">
                  <c:v>2014-04</c:v>
                </c:pt>
                <c:pt idx="46">
                  <c:v>2014-05</c:v>
                </c:pt>
                <c:pt idx="47">
                  <c:v>2014-06</c:v>
                </c:pt>
                <c:pt idx="48">
                  <c:v>2014-07</c:v>
                </c:pt>
                <c:pt idx="49">
                  <c:v>2014-08</c:v>
                </c:pt>
                <c:pt idx="50">
                  <c:v>2014-09</c:v>
                </c:pt>
                <c:pt idx="51">
                  <c:v>2014-10</c:v>
                </c:pt>
                <c:pt idx="52">
                  <c:v>2014-11</c:v>
                </c:pt>
                <c:pt idx="53">
                  <c:v>2014-12</c:v>
                </c:pt>
                <c:pt idx="54">
                  <c:v>2015-01</c:v>
                </c:pt>
                <c:pt idx="55">
                  <c:v>2015-02</c:v>
                </c:pt>
                <c:pt idx="56">
                  <c:v>2015-03</c:v>
                </c:pt>
                <c:pt idx="57">
                  <c:v>2015-04</c:v>
                </c:pt>
                <c:pt idx="58">
                  <c:v>2015-05</c:v>
                </c:pt>
                <c:pt idx="59">
                  <c:v>2015-06</c:v>
                </c:pt>
                <c:pt idx="60">
                  <c:v>2015-07</c:v>
                </c:pt>
                <c:pt idx="61">
                  <c:v>2015-08</c:v>
                </c:pt>
                <c:pt idx="62">
                  <c:v>2015-10</c:v>
                </c:pt>
                <c:pt idx="63">
                  <c:v>2015-11</c:v>
                </c:pt>
                <c:pt idx="64">
                  <c:v>2015-12</c:v>
                </c:pt>
                <c:pt idx="65">
                  <c:v>2016-01</c:v>
                </c:pt>
                <c:pt idx="66">
                  <c:v>2016-02</c:v>
                </c:pt>
                <c:pt idx="67">
                  <c:v>2016-03</c:v>
                </c:pt>
                <c:pt idx="68">
                  <c:v>2016-04</c:v>
                </c:pt>
                <c:pt idx="69">
                  <c:v>2016-05</c:v>
                </c:pt>
                <c:pt idx="70">
                  <c:v>2016-07</c:v>
                </c:pt>
                <c:pt idx="71">
                  <c:v>2016-08</c:v>
                </c:pt>
                <c:pt idx="72">
                  <c:v>2016-09</c:v>
                </c:pt>
                <c:pt idx="73">
                  <c:v>2016-10</c:v>
                </c:pt>
                <c:pt idx="74">
                  <c:v>2016-11</c:v>
                </c:pt>
                <c:pt idx="75">
                  <c:v>2016-12</c:v>
                </c:pt>
                <c:pt idx="76">
                  <c:v>2017-01</c:v>
                </c:pt>
                <c:pt idx="77">
                  <c:v>2017-02</c:v>
                </c:pt>
                <c:pt idx="78">
                  <c:v>2017-04</c:v>
                </c:pt>
                <c:pt idx="79">
                  <c:v>2017-05</c:v>
                </c:pt>
                <c:pt idx="80">
                  <c:v>2017-06</c:v>
                </c:pt>
                <c:pt idx="81">
                  <c:v>2017-07</c:v>
                </c:pt>
                <c:pt idx="82">
                  <c:v>2017-08</c:v>
                </c:pt>
                <c:pt idx="83">
                  <c:v>2017-09</c:v>
                </c:pt>
                <c:pt idx="84">
                  <c:v>2017-10</c:v>
                </c:pt>
                <c:pt idx="85">
                  <c:v>2017-11</c:v>
                </c:pt>
                <c:pt idx="86">
                  <c:v>2017-12</c:v>
                </c:pt>
                <c:pt idx="87">
                  <c:v>2018-01</c:v>
                </c:pt>
                <c:pt idx="88">
                  <c:v>2018-02</c:v>
                </c:pt>
                <c:pt idx="89">
                  <c:v>2018-03</c:v>
                </c:pt>
                <c:pt idx="90">
                  <c:v>2018-04</c:v>
                </c:pt>
                <c:pt idx="91">
                  <c:v>2018-05</c:v>
                </c:pt>
                <c:pt idx="92">
                  <c:v>2018-06</c:v>
                </c:pt>
                <c:pt idx="93">
                  <c:v>2018-07</c:v>
                </c:pt>
                <c:pt idx="94">
                  <c:v>2018-08</c:v>
                </c:pt>
                <c:pt idx="95">
                  <c:v>2018-09</c:v>
                </c:pt>
                <c:pt idx="96">
                  <c:v>2018-10</c:v>
                </c:pt>
                <c:pt idx="97">
                  <c:v>2018-11</c:v>
                </c:pt>
                <c:pt idx="98">
                  <c:v>2018-12</c:v>
                </c:pt>
                <c:pt idx="99">
                  <c:v>2019-01</c:v>
                </c:pt>
                <c:pt idx="100">
                  <c:v>2019-02</c:v>
                </c:pt>
                <c:pt idx="101">
                  <c:v>2019-03</c:v>
                </c:pt>
                <c:pt idx="102">
                  <c:v>2019-04</c:v>
                </c:pt>
                <c:pt idx="103">
                  <c:v>2019-05</c:v>
                </c:pt>
                <c:pt idx="104">
                  <c:v>2019-06</c:v>
                </c:pt>
                <c:pt idx="105">
                  <c:v>2019-07</c:v>
                </c:pt>
                <c:pt idx="106">
                  <c:v>2019-08</c:v>
                </c:pt>
                <c:pt idx="107">
                  <c:v>2019-09</c:v>
                </c:pt>
                <c:pt idx="108">
                  <c:v>2019-10</c:v>
                </c:pt>
                <c:pt idx="109">
                  <c:v>2019-11</c:v>
                </c:pt>
                <c:pt idx="110">
                  <c:v>2019-12</c:v>
                </c:pt>
                <c:pt idx="111">
                  <c:v>2020-02</c:v>
                </c:pt>
                <c:pt idx="112">
                  <c:v>2020-03</c:v>
                </c:pt>
                <c:pt idx="113">
                  <c:v>2020-04</c:v>
                </c:pt>
                <c:pt idx="114">
                  <c:v>2020-05</c:v>
                </c:pt>
                <c:pt idx="115">
                  <c:v>2020-06</c:v>
                </c:pt>
                <c:pt idx="116">
                  <c:v>2020-07</c:v>
                </c:pt>
                <c:pt idx="117">
                  <c:v>2020-08</c:v>
                </c:pt>
                <c:pt idx="118">
                  <c:v>2020-09</c:v>
                </c:pt>
                <c:pt idx="119">
                  <c:v>2020-11</c:v>
                </c:pt>
                <c:pt idx="120">
                  <c:v>2021-01</c:v>
                </c:pt>
                <c:pt idx="121">
                  <c:v>2021-02</c:v>
                </c:pt>
                <c:pt idx="122">
                  <c:v>2021-03</c:v>
                </c:pt>
                <c:pt idx="123">
                  <c:v>2021-04</c:v>
                </c:pt>
                <c:pt idx="124">
                  <c:v>2021-05</c:v>
                </c:pt>
                <c:pt idx="125">
                  <c:v>2021-06</c:v>
                </c:pt>
                <c:pt idx="126">
                  <c:v>2021-07</c:v>
                </c:pt>
                <c:pt idx="127">
                  <c:v>2021-08</c:v>
                </c:pt>
                <c:pt idx="128">
                  <c:v>2021-09</c:v>
                </c:pt>
                <c:pt idx="129">
                  <c:v>2021-10</c:v>
                </c:pt>
                <c:pt idx="130">
                  <c:v>2021-11</c:v>
                </c:pt>
                <c:pt idx="131">
                  <c:v>2021-12</c:v>
                </c:pt>
                <c:pt idx="132">
                  <c:v>2022-02</c:v>
                </c:pt>
                <c:pt idx="133">
                  <c:v>2022-03</c:v>
                </c:pt>
                <c:pt idx="134">
                  <c:v>2022-04</c:v>
                </c:pt>
                <c:pt idx="135">
                  <c:v>2022-05</c:v>
                </c:pt>
                <c:pt idx="136">
                  <c:v>2022-06</c:v>
                </c:pt>
                <c:pt idx="137">
                  <c:v>2022-07</c:v>
                </c:pt>
                <c:pt idx="138">
                  <c:v>2022-08</c:v>
                </c:pt>
                <c:pt idx="139">
                  <c:v>2022-09</c:v>
                </c:pt>
                <c:pt idx="140">
                  <c:v>2022-10</c:v>
                </c:pt>
                <c:pt idx="141">
                  <c:v>2022-11</c:v>
                </c:pt>
                <c:pt idx="142">
                  <c:v>2023-01</c:v>
                </c:pt>
                <c:pt idx="143">
                  <c:v>2023-02</c:v>
                </c:pt>
                <c:pt idx="144">
                  <c:v>2023-03</c:v>
                </c:pt>
              </c:strCache>
            </c:strRef>
          </c:cat>
          <c:val>
            <c:numRef>
              <c:f>'Pivot Tables'!$B$24:$B$169</c:f>
              <c:numCache>
                <c:formatCode>0.00</c:formatCode>
                <c:ptCount val="145"/>
                <c:pt idx="0">
                  <c:v>1915.5046735206677</c:v>
                </c:pt>
                <c:pt idx="1">
                  <c:v>866.00307488808812</c:v>
                </c:pt>
                <c:pt idx="2">
                  <c:v>111.24199775221837</c:v>
                </c:pt>
                <c:pt idx="3">
                  <c:v>361.55410285004962</c:v>
                </c:pt>
                <c:pt idx="4">
                  <c:v>136.95400638538868</c:v>
                </c:pt>
                <c:pt idx="5">
                  <c:v>874.30076335877868</c:v>
                </c:pt>
                <c:pt idx="6">
                  <c:v>795.98811895157951</c:v>
                </c:pt>
                <c:pt idx="7">
                  <c:v>349.138057661429</c:v>
                </c:pt>
                <c:pt idx="8">
                  <c:v>100.69991687448048</c:v>
                </c:pt>
                <c:pt idx="9">
                  <c:v>792.98279547830612</c:v>
                </c:pt>
                <c:pt idx="10">
                  <c:v>532.31152401723853</c:v>
                </c:pt>
                <c:pt idx="11">
                  <c:v>4704.3537041253048</c:v>
                </c:pt>
                <c:pt idx="12">
                  <c:v>718.31237746124521</c:v>
                </c:pt>
                <c:pt idx="13">
                  <c:v>971.15892413368874</c:v>
                </c:pt>
                <c:pt idx="14">
                  <c:v>184.60200653872155</c:v>
                </c:pt>
                <c:pt idx="15">
                  <c:v>72.647043013175818</c:v>
                </c:pt>
                <c:pt idx="16">
                  <c:v>1211.9706438118185</c:v>
                </c:pt>
                <c:pt idx="17">
                  <c:v>318.46522482516428</c:v>
                </c:pt>
                <c:pt idx="18">
                  <c:v>501.55550252447858</c:v>
                </c:pt>
                <c:pt idx="19">
                  <c:v>182.87008540498982</c:v>
                </c:pt>
                <c:pt idx="20">
                  <c:v>830.48275516115507</c:v>
                </c:pt>
                <c:pt idx="21">
                  <c:v>262.67406282657345</c:v>
                </c:pt>
                <c:pt idx="22">
                  <c:v>460.28759761440949</c:v>
                </c:pt>
                <c:pt idx="23">
                  <c:v>172.34906959742972</c:v>
                </c:pt>
                <c:pt idx="24">
                  <c:v>218.17908646352819</c:v>
                </c:pt>
                <c:pt idx="25">
                  <c:v>1654.4755197656766</c:v>
                </c:pt>
                <c:pt idx="26">
                  <c:v>381.13741721854302</c:v>
                </c:pt>
                <c:pt idx="27">
                  <c:v>632.09773952787202</c:v>
                </c:pt>
                <c:pt idx="28">
                  <c:v>2603.5427213380403</c:v>
                </c:pt>
                <c:pt idx="29">
                  <c:v>163.04764428470355</c:v>
                </c:pt>
                <c:pt idx="30">
                  <c:v>420.47115380029112</c:v>
                </c:pt>
                <c:pt idx="31">
                  <c:v>719.33818701221981</c:v>
                </c:pt>
                <c:pt idx="32">
                  <c:v>366.82275862068968</c:v>
                </c:pt>
                <c:pt idx="33">
                  <c:v>1272.0877341079183</c:v>
                </c:pt>
                <c:pt idx="34">
                  <c:v>920.62332900784077</c:v>
                </c:pt>
                <c:pt idx="35">
                  <c:v>135.49085457271363</c:v>
                </c:pt>
                <c:pt idx="36">
                  <c:v>278.74980094214447</c:v>
                </c:pt>
                <c:pt idx="37">
                  <c:v>63.876844238756611</c:v>
                </c:pt>
                <c:pt idx="38">
                  <c:v>271.64036911454571</c:v>
                </c:pt>
                <c:pt idx="39">
                  <c:v>309.83055754438925</c:v>
                </c:pt>
                <c:pt idx="40">
                  <c:v>135.17048674437694</c:v>
                </c:pt>
                <c:pt idx="41">
                  <c:v>377.76542002243832</c:v>
                </c:pt>
                <c:pt idx="42">
                  <c:v>788.86726952764752</c:v>
                </c:pt>
                <c:pt idx="43">
                  <c:v>141.58214507129571</c:v>
                </c:pt>
                <c:pt idx="44">
                  <c:v>198.69474767461585</c:v>
                </c:pt>
                <c:pt idx="45">
                  <c:v>1459.330548804475</c:v>
                </c:pt>
                <c:pt idx="46">
                  <c:v>2304.5648744141831</c:v>
                </c:pt>
                <c:pt idx="47">
                  <c:v>72.850912668051151</c:v>
                </c:pt>
                <c:pt idx="48">
                  <c:v>176.73549531289586</c:v>
                </c:pt>
                <c:pt idx="49">
                  <c:v>97.141719745222929</c:v>
                </c:pt>
                <c:pt idx="50">
                  <c:v>542.24623107537957</c:v>
                </c:pt>
                <c:pt idx="51">
                  <c:v>116.91948615885653</c:v>
                </c:pt>
                <c:pt idx="52">
                  <c:v>158.20109639555091</c:v>
                </c:pt>
                <c:pt idx="53">
                  <c:v>508.66225012858393</c:v>
                </c:pt>
                <c:pt idx="54">
                  <c:v>523.23429259467707</c:v>
                </c:pt>
                <c:pt idx="55">
                  <c:v>600.03419764591376</c:v>
                </c:pt>
                <c:pt idx="56">
                  <c:v>355.70212161339384</c:v>
                </c:pt>
                <c:pt idx="57">
                  <c:v>1767.613717218487</c:v>
                </c:pt>
                <c:pt idx="58">
                  <c:v>1023.0319676049854</c:v>
                </c:pt>
                <c:pt idx="59">
                  <c:v>103.48564668769717</c:v>
                </c:pt>
                <c:pt idx="60">
                  <c:v>336.35148293972611</c:v>
                </c:pt>
                <c:pt idx="61">
                  <c:v>525.70676020987605</c:v>
                </c:pt>
                <c:pt idx="62">
                  <c:v>773.06626303928954</c:v>
                </c:pt>
                <c:pt idx="63">
                  <c:v>264.54048252402771</c:v>
                </c:pt>
                <c:pt idx="64">
                  <c:v>649.16858677141033</c:v>
                </c:pt>
                <c:pt idx="65">
                  <c:v>37.035071441825941</c:v>
                </c:pt>
                <c:pt idx="66">
                  <c:v>324.66549730040003</c:v>
                </c:pt>
                <c:pt idx="67">
                  <c:v>639.44374202164181</c:v>
                </c:pt>
                <c:pt idx="68">
                  <c:v>2305.8914748467746</c:v>
                </c:pt>
                <c:pt idx="69">
                  <c:v>787.65406432252257</c:v>
                </c:pt>
                <c:pt idx="70">
                  <c:v>545.90411744017456</c:v>
                </c:pt>
                <c:pt idx="71">
                  <c:v>36.27802842318971</c:v>
                </c:pt>
                <c:pt idx="72">
                  <c:v>42.387021848470205</c:v>
                </c:pt>
                <c:pt idx="73">
                  <c:v>302.67731769677312</c:v>
                </c:pt>
                <c:pt idx="74">
                  <c:v>1968.837996557648</c:v>
                </c:pt>
                <c:pt idx="75">
                  <c:v>991.43735580615987</c:v>
                </c:pt>
                <c:pt idx="76">
                  <c:v>82.10439376745741</c:v>
                </c:pt>
                <c:pt idx="77">
                  <c:v>280.83181474958155</c:v>
                </c:pt>
                <c:pt idx="78">
                  <c:v>779.62568901573115</c:v>
                </c:pt>
                <c:pt idx="79">
                  <c:v>1461.1557306906718</c:v>
                </c:pt>
                <c:pt idx="80">
                  <c:v>197.6002768350757</c:v>
                </c:pt>
                <c:pt idx="81">
                  <c:v>283.19036895334114</c:v>
                </c:pt>
                <c:pt idx="82">
                  <c:v>672.29963355761345</c:v>
                </c:pt>
                <c:pt idx="83">
                  <c:v>253.57501480108314</c:v>
                </c:pt>
                <c:pt idx="84">
                  <c:v>83.562971134399703</c:v>
                </c:pt>
                <c:pt idx="85">
                  <c:v>566.44181266486362</c:v>
                </c:pt>
                <c:pt idx="86">
                  <c:v>837.99410177950358</c:v>
                </c:pt>
                <c:pt idx="87">
                  <c:v>157.97407639767152</c:v>
                </c:pt>
                <c:pt idx="88">
                  <c:v>35.959270087710458</c:v>
                </c:pt>
                <c:pt idx="89">
                  <c:v>228.33899382955258</c:v>
                </c:pt>
                <c:pt idx="90">
                  <c:v>2060.2457467524428</c:v>
                </c:pt>
                <c:pt idx="91">
                  <c:v>1962.700988247441</c:v>
                </c:pt>
                <c:pt idx="92">
                  <c:v>72.399501571134465</c:v>
                </c:pt>
                <c:pt idx="93">
                  <c:v>4341.3610170127777</c:v>
                </c:pt>
                <c:pt idx="94">
                  <c:v>1647.0499455195479</c:v>
                </c:pt>
                <c:pt idx="95">
                  <c:v>1266.6306185948738</c:v>
                </c:pt>
                <c:pt idx="96">
                  <c:v>242.1036562914133</c:v>
                </c:pt>
                <c:pt idx="97">
                  <c:v>440.50932731572902</c:v>
                </c:pt>
                <c:pt idx="98">
                  <c:v>480.85628165734181</c:v>
                </c:pt>
                <c:pt idx="99">
                  <c:v>569.9543750001983</c:v>
                </c:pt>
                <c:pt idx="100">
                  <c:v>348.8194760820046</c:v>
                </c:pt>
                <c:pt idx="101">
                  <c:v>278.658777261848</c:v>
                </c:pt>
                <c:pt idx="102">
                  <c:v>1244.1027581539975</c:v>
                </c:pt>
                <c:pt idx="103">
                  <c:v>554.10240338970266</c:v>
                </c:pt>
                <c:pt idx="104">
                  <c:v>149.46715116279071</c:v>
                </c:pt>
                <c:pt idx="105">
                  <c:v>114.06364286857368</c:v>
                </c:pt>
                <c:pt idx="106">
                  <c:v>46.04992055084746</c:v>
                </c:pt>
                <c:pt idx="107">
                  <c:v>602.4621485132659</c:v>
                </c:pt>
                <c:pt idx="108">
                  <c:v>1131.2344291627946</c:v>
                </c:pt>
                <c:pt idx="109">
                  <c:v>385.580015026296</c:v>
                </c:pt>
                <c:pt idx="110">
                  <c:v>674.4492031872511</c:v>
                </c:pt>
                <c:pt idx="111">
                  <c:v>150.16787827464339</c:v>
                </c:pt>
                <c:pt idx="112">
                  <c:v>513.98700212701476</c:v>
                </c:pt>
                <c:pt idx="113">
                  <c:v>513.07865955069076</c:v>
                </c:pt>
                <c:pt idx="114">
                  <c:v>1056.0962008815093</c:v>
                </c:pt>
                <c:pt idx="115">
                  <c:v>65.816091954022994</c:v>
                </c:pt>
                <c:pt idx="116">
                  <c:v>2274.5767441860467</c:v>
                </c:pt>
                <c:pt idx="117">
                  <c:v>307.97639678635318</c:v>
                </c:pt>
                <c:pt idx="118">
                  <c:v>567.81993095615735</c:v>
                </c:pt>
                <c:pt idx="119">
                  <c:v>625.08412159043428</c:v>
                </c:pt>
                <c:pt idx="120">
                  <c:v>207.20198272147505</c:v>
                </c:pt>
                <c:pt idx="121">
                  <c:v>142.4737099155943</c:v>
                </c:pt>
                <c:pt idx="122">
                  <c:v>2691.564293902738</c:v>
                </c:pt>
                <c:pt idx="123">
                  <c:v>734.07326993915569</c:v>
                </c:pt>
                <c:pt idx="124">
                  <c:v>1501.3771323928859</c:v>
                </c:pt>
                <c:pt idx="125">
                  <c:v>443.68840481290033</c:v>
                </c:pt>
                <c:pt idx="126">
                  <c:v>254.8976722663991</c:v>
                </c:pt>
                <c:pt idx="127">
                  <c:v>15.821174123681958</c:v>
                </c:pt>
                <c:pt idx="128">
                  <c:v>137.60545779137976</c:v>
                </c:pt>
                <c:pt idx="129">
                  <c:v>65.654920556473087</c:v>
                </c:pt>
                <c:pt idx="130">
                  <c:v>370.45531430806329</c:v>
                </c:pt>
                <c:pt idx="131">
                  <c:v>228.03432508873112</c:v>
                </c:pt>
                <c:pt idx="132">
                  <c:v>448.87960210431572</c:v>
                </c:pt>
                <c:pt idx="133">
                  <c:v>4385.0656756756762</c:v>
                </c:pt>
                <c:pt idx="134">
                  <c:v>1872.4789958165925</c:v>
                </c:pt>
                <c:pt idx="135">
                  <c:v>1017.6515802677208</c:v>
                </c:pt>
                <c:pt idx="136">
                  <c:v>1893.951088728629</c:v>
                </c:pt>
                <c:pt idx="137">
                  <c:v>263.45812867069168</c:v>
                </c:pt>
                <c:pt idx="138">
                  <c:v>129.62820286745426</c:v>
                </c:pt>
                <c:pt idx="139">
                  <c:v>192.86355884025014</c:v>
                </c:pt>
                <c:pt idx="140">
                  <c:v>220.55280068008324</c:v>
                </c:pt>
                <c:pt idx="141">
                  <c:v>1451.2028193325659</c:v>
                </c:pt>
                <c:pt idx="142">
                  <c:v>258.9524862930333</c:v>
                </c:pt>
                <c:pt idx="143">
                  <c:v>148.91763683878855</c:v>
                </c:pt>
                <c:pt idx="144">
                  <c:v>155.66708171440422</c:v>
                </c:pt>
              </c:numCache>
            </c:numRef>
          </c:val>
          <c:extLst>
            <c:ext xmlns:c16="http://schemas.microsoft.com/office/drawing/2014/chart" uri="{C3380CC4-5D6E-409C-BE32-E72D297353CC}">
              <c16:uniqueId val="{00000000-44E1-449E-A7D9-34BD685201D7}"/>
            </c:ext>
          </c:extLst>
        </c:ser>
        <c:dLbls>
          <c:showLegendKey val="0"/>
          <c:showVal val="0"/>
          <c:showCatName val="0"/>
          <c:showSerName val="0"/>
          <c:showPercent val="0"/>
          <c:showBubbleSize val="0"/>
        </c:dLbls>
        <c:axId val="1668113008"/>
        <c:axId val="1668110128"/>
      </c:areaChart>
      <c:catAx>
        <c:axId val="16681130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110128"/>
        <c:crosses val="autoZero"/>
        <c:auto val="1"/>
        <c:lblAlgn val="ctr"/>
        <c:lblOffset val="100"/>
        <c:noMultiLvlLbl val="0"/>
      </c:catAx>
      <c:valAx>
        <c:axId val="16681101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11300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[Agricultural_Crop_Yield_new.xlsx]Pivot Tables!PivotTable4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Tables'!$E$3</c:f>
              <c:strCache>
                <c:ptCount val="1"/>
                <c:pt idx="0">
                  <c:v>Total</c:v>
                </c:pt>
              </c:strCache>
            </c:strRef>
          </c:tx>
          <c:spPr>
            <a:solidFill>
              <a:schemeClr val="accent1"/>
            </a:solidFill>
            <a:ln>
              <a:noFill/>
            </a:ln>
            <a:effectLst/>
          </c:spPr>
          <c:invertIfNegative val="0"/>
          <c:cat>
            <c:strRef>
              <c:f>'Pivot Tables'!$D$4:$D$10</c:f>
              <c:strCache>
                <c:ptCount val="6"/>
                <c:pt idx="0">
                  <c:v>Sugarcane</c:v>
                </c:pt>
                <c:pt idx="1">
                  <c:v>Cotton</c:v>
                </c:pt>
                <c:pt idx="2">
                  <c:v>Pulses</c:v>
                </c:pt>
                <c:pt idx="3">
                  <c:v>Wheat</c:v>
                </c:pt>
                <c:pt idx="4">
                  <c:v>Maize</c:v>
                </c:pt>
                <c:pt idx="5">
                  <c:v>Rice</c:v>
                </c:pt>
              </c:strCache>
            </c:strRef>
          </c:cat>
          <c:val>
            <c:numRef>
              <c:f>'Pivot Tables'!$E$4:$E$10</c:f>
              <c:numCache>
                <c:formatCode>0.00</c:formatCode>
                <c:ptCount val="6"/>
                <c:pt idx="0">
                  <c:v>369758.25000000006</c:v>
                </c:pt>
                <c:pt idx="1">
                  <c:v>352441.94999999995</c:v>
                </c:pt>
                <c:pt idx="2">
                  <c:v>351793.8</c:v>
                </c:pt>
                <c:pt idx="3">
                  <c:v>344172.02999999991</c:v>
                </c:pt>
                <c:pt idx="4">
                  <c:v>292480.14</c:v>
                </c:pt>
                <c:pt idx="5">
                  <c:v>286707.73</c:v>
                </c:pt>
              </c:numCache>
            </c:numRef>
          </c:val>
          <c:extLst>
            <c:ext xmlns:c16="http://schemas.microsoft.com/office/drawing/2014/chart" uri="{C3380CC4-5D6E-409C-BE32-E72D297353CC}">
              <c16:uniqueId val="{00000000-A222-4295-8A76-9D3B182BC6E7}"/>
            </c:ext>
          </c:extLst>
        </c:ser>
        <c:dLbls>
          <c:showLegendKey val="0"/>
          <c:showVal val="0"/>
          <c:showCatName val="0"/>
          <c:showSerName val="0"/>
          <c:showPercent val="0"/>
          <c:showBubbleSize val="0"/>
        </c:dLbls>
        <c:gapWidth val="182"/>
        <c:axId val="1714386464"/>
        <c:axId val="1714391264"/>
      </c:barChart>
      <c:catAx>
        <c:axId val="1714386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391264"/>
        <c:crosses val="autoZero"/>
        <c:auto val="1"/>
        <c:lblAlgn val="ctr"/>
        <c:lblOffset val="100"/>
        <c:noMultiLvlLbl val="0"/>
      </c:catAx>
      <c:valAx>
        <c:axId val="171439126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386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[Agricultural_Crop_Yield_new.xlsx]Pivot Tables!PivotTable5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Tables'!$E$12</c:f>
              <c:strCache>
                <c:ptCount val="1"/>
                <c:pt idx="0">
                  <c:v>Total</c:v>
                </c:pt>
              </c:strCache>
            </c:strRef>
          </c:tx>
          <c:spPr>
            <a:solidFill>
              <a:schemeClr val="accent1"/>
            </a:solidFill>
            <a:ln>
              <a:noFill/>
            </a:ln>
            <a:effectLst/>
          </c:spPr>
          <c:invertIfNegative val="0"/>
          <c:cat>
            <c:strRef>
              <c:f>'Pivot Tables'!$D$13:$D$19</c:f>
              <c:strCache>
                <c:ptCount val="6"/>
                <c:pt idx="0">
                  <c:v>Pulses</c:v>
                </c:pt>
                <c:pt idx="1">
                  <c:v>Sugarcane</c:v>
                </c:pt>
                <c:pt idx="2">
                  <c:v>Maize</c:v>
                </c:pt>
                <c:pt idx="3">
                  <c:v>Rice</c:v>
                </c:pt>
                <c:pt idx="4">
                  <c:v>Wheat</c:v>
                </c:pt>
                <c:pt idx="5">
                  <c:v>Cotton</c:v>
                </c:pt>
              </c:strCache>
            </c:strRef>
          </c:cat>
          <c:val>
            <c:numRef>
              <c:f>'Pivot Tables'!$E$13:$E$19</c:f>
              <c:numCache>
                <c:formatCode>0.00</c:formatCode>
                <c:ptCount val="6"/>
                <c:pt idx="0">
                  <c:v>291.5186733471769</c:v>
                </c:pt>
                <c:pt idx="1">
                  <c:v>211.54728930321096</c:v>
                </c:pt>
                <c:pt idx="2">
                  <c:v>199.75962465066263</c:v>
                </c:pt>
                <c:pt idx="3">
                  <c:v>181.7425703039147</c:v>
                </c:pt>
                <c:pt idx="4">
                  <c:v>177.9670267177658</c:v>
                </c:pt>
                <c:pt idx="5">
                  <c:v>136.37835747124541</c:v>
                </c:pt>
              </c:numCache>
            </c:numRef>
          </c:val>
          <c:extLst>
            <c:ext xmlns:c16="http://schemas.microsoft.com/office/drawing/2014/chart" uri="{C3380CC4-5D6E-409C-BE32-E72D297353CC}">
              <c16:uniqueId val="{00000000-CD54-4513-A1ED-AF1F2DD0E246}"/>
            </c:ext>
          </c:extLst>
        </c:ser>
        <c:dLbls>
          <c:showLegendKey val="0"/>
          <c:showVal val="0"/>
          <c:showCatName val="0"/>
          <c:showSerName val="0"/>
          <c:showPercent val="0"/>
          <c:showBubbleSize val="0"/>
        </c:dLbls>
        <c:gapWidth val="182"/>
        <c:axId val="1714403744"/>
        <c:axId val="1714407104"/>
      </c:barChart>
      <c:catAx>
        <c:axId val="1714403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407104"/>
        <c:crosses val="autoZero"/>
        <c:auto val="1"/>
        <c:lblAlgn val="ctr"/>
        <c:lblOffset val="100"/>
        <c:noMultiLvlLbl val="0"/>
      </c:catAx>
      <c:valAx>
        <c:axId val="171440710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403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[Agricultural_Crop_Yield_new.xlsx]Pivot Tables!PivotTable6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Tables'!$E$21</c:f>
              <c:strCache>
                <c:ptCount val="1"/>
                <c:pt idx="0">
                  <c:v>Total</c:v>
                </c:pt>
              </c:strCache>
            </c:strRef>
          </c:tx>
          <c:spPr>
            <a:solidFill>
              <a:schemeClr val="accent1"/>
            </a:solidFill>
            <a:ln>
              <a:noFill/>
            </a:ln>
            <a:effectLst/>
          </c:spPr>
          <c:invertIfNegative val="0"/>
          <c:cat>
            <c:strRef>
              <c:f>'Pivot Tables'!$D$22:$D$27</c:f>
              <c:strCache>
                <c:ptCount val="5"/>
                <c:pt idx="0">
                  <c:v>Compost</c:v>
                </c:pt>
                <c:pt idx="1">
                  <c:v>DAP</c:v>
                </c:pt>
                <c:pt idx="2">
                  <c:v>NPK</c:v>
                </c:pt>
                <c:pt idx="3">
                  <c:v>Urea</c:v>
                </c:pt>
                <c:pt idx="4">
                  <c:v>Vermicompost</c:v>
                </c:pt>
              </c:strCache>
            </c:strRef>
          </c:cat>
          <c:val>
            <c:numRef>
              <c:f>'Pivot Tables'!$E$22:$E$27</c:f>
              <c:numCache>
                <c:formatCode>0.00</c:formatCode>
                <c:ptCount val="5"/>
                <c:pt idx="0">
                  <c:v>225.98669498752622</c:v>
                </c:pt>
                <c:pt idx="1">
                  <c:v>184.65670780267425</c:v>
                </c:pt>
                <c:pt idx="2">
                  <c:v>165.24698026268604</c:v>
                </c:pt>
                <c:pt idx="3">
                  <c:v>228.90486165331899</c:v>
                </c:pt>
                <c:pt idx="4">
                  <c:v>191.74394369561313</c:v>
                </c:pt>
              </c:numCache>
            </c:numRef>
          </c:val>
          <c:extLst>
            <c:ext xmlns:c16="http://schemas.microsoft.com/office/drawing/2014/chart" uri="{C3380CC4-5D6E-409C-BE32-E72D297353CC}">
              <c16:uniqueId val="{00000000-FFC7-470A-84C1-50DE0483EC0E}"/>
            </c:ext>
          </c:extLst>
        </c:ser>
        <c:dLbls>
          <c:showLegendKey val="0"/>
          <c:showVal val="0"/>
          <c:showCatName val="0"/>
          <c:showSerName val="0"/>
          <c:showPercent val="0"/>
          <c:showBubbleSize val="0"/>
        </c:dLbls>
        <c:gapWidth val="219"/>
        <c:overlap val="-27"/>
        <c:axId val="1714409024"/>
        <c:axId val="1714410944"/>
      </c:barChart>
      <c:catAx>
        <c:axId val="1714409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410944"/>
        <c:crosses val="autoZero"/>
        <c:auto val="1"/>
        <c:lblAlgn val="ctr"/>
        <c:lblOffset val="100"/>
        <c:noMultiLvlLbl val="0"/>
      </c:catAx>
      <c:valAx>
        <c:axId val="17144109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409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[Agricultural_Crop_Yield_new.xlsx]Pivot Tables!PivotTable11</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Tables'!$E$38</c:f>
              <c:strCache>
                <c:ptCount val="1"/>
                <c:pt idx="0">
                  <c:v>Total</c:v>
                </c:pt>
              </c:strCache>
            </c:strRef>
          </c:tx>
          <c:spPr>
            <a:solidFill>
              <a:schemeClr val="accent1"/>
            </a:solidFill>
            <a:ln>
              <a:noFill/>
            </a:ln>
            <a:effectLst/>
          </c:spPr>
          <c:invertIfNegative val="0"/>
          <c:cat>
            <c:strRef>
              <c:f>'Pivot Tables'!$D$39:$D$49</c:f>
              <c:strCache>
                <c:ptCount val="10"/>
                <c:pt idx="0">
                  <c:v>Kolkata</c:v>
                </c:pt>
                <c:pt idx="1">
                  <c:v>Pune</c:v>
                </c:pt>
                <c:pt idx="2">
                  <c:v>Kanpur</c:v>
                </c:pt>
                <c:pt idx="3">
                  <c:v>Amritsar</c:v>
                </c:pt>
                <c:pt idx="4">
                  <c:v>Gaya</c:v>
                </c:pt>
                <c:pt idx="5">
                  <c:v>Gurgaon</c:v>
                </c:pt>
                <c:pt idx="6">
                  <c:v>Nagpur</c:v>
                </c:pt>
                <c:pt idx="7">
                  <c:v>Varanasi</c:v>
                </c:pt>
                <c:pt idx="8">
                  <c:v>Hisar</c:v>
                </c:pt>
                <c:pt idx="9">
                  <c:v>Bhagalpur</c:v>
                </c:pt>
              </c:strCache>
            </c:strRef>
          </c:cat>
          <c:val>
            <c:numRef>
              <c:f>'Pivot Tables'!$E$39:$E$49</c:f>
              <c:numCache>
                <c:formatCode>0.00</c:formatCode>
                <c:ptCount val="10"/>
                <c:pt idx="0">
                  <c:v>6380.4999999999991</c:v>
                </c:pt>
                <c:pt idx="1">
                  <c:v>5419.2099999999991</c:v>
                </c:pt>
                <c:pt idx="2">
                  <c:v>5193.6599999999989</c:v>
                </c:pt>
                <c:pt idx="3">
                  <c:v>4975.8000000000011</c:v>
                </c:pt>
                <c:pt idx="4">
                  <c:v>4775.4900000000007</c:v>
                </c:pt>
                <c:pt idx="5">
                  <c:v>4763.9799999999996</c:v>
                </c:pt>
                <c:pt idx="6">
                  <c:v>4714.74</c:v>
                </c:pt>
                <c:pt idx="7">
                  <c:v>4506.9699999999993</c:v>
                </c:pt>
                <c:pt idx="8">
                  <c:v>4391.1099999999997</c:v>
                </c:pt>
                <c:pt idx="9">
                  <c:v>4245.58</c:v>
                </c:pt>
              </c:numCache>
            </c:numRef>
          </c:val>
          <c:extLst>
            <c:ext xmlns:c16="http://schemas.microsoft.com/office/drawing/2014/chart" uri="{C3380CC4-5D6E-409C-BE32-E72D297353CC}">
              <c16:uniqueId val="{00000000-B22C-4C9C-AB38-F7FD6A0C8980}"/>
            </c:ext>
          </c:extLst>
        </c:ser>
        <c:dLbls>
          <c:showLegendKey val="0"/>
          <c:showVal val="0"/>
          <c:showCatName val="0"/>
          <c:showSerName val="0"/>
          <c:showPercent val="0"/>
          <c:showBubbleSize val="0"/>
        </c:dLbls>
        <c:gapWidth val="219"/>
        <c:overlap val="-27"/>
        <c:axId val="1775323376"/>
        <c:axId val="1775324816"/>
      </c:barChart>
      <c:catAx>
        <c:axId val="1775323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324816"/>
        <c:crosses val="autoZero"/>
        <c:auto val="1"/>
        <c:lblAlgn val="ctr"/>
        <c:lblOffset val="100"/>
        <c:noMultiLvlLbl val="0"/>
      </c:catAx>
      <c:valAx>
        <c:axId val="17753248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323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'Pivot Tables'!$D$506:$D$1004</c:f>
              <c:numCache>
                <c:formatCode>0.00</c:formatCode>
                <c:ptCount val="499"/>
                <c:pt idx="0">
                  <c:v>201.46</c:v>
                </c:pt>
                <c:pt idx="1">
                  <c:v>202.16</c:v>
                </c:pt>
                <c:pt idx="2">
                  <c:v>202.74</c:v>
                </c:pt>
                <c:pt idx="3">
                  <c:v>208.18</c:v>
                </c:pt>
                <c:pt idx="4">
                  <c:v>210.56</c:v>
                </c:pt>
                <c:pt idx="5">
                  <c:v>210.58</c:v>
                </c:pt>
                <c:pt idx="6">
                  <c:v>211.15</c:v>
                </c:pt>
                <c:pt idx="7">
                  <c:v>212.27</c:v>
                </c:pt>
                <c:pt idx="8">
                  <c:v>214.08</c:v>
                </c:pt>
                <c:pt idx="9">
                  <c:v>215.33</c:v>
                </c:pt>
                <c:pt idx="10">
                  <c:v>215.73</c:v>
                </c:pt>
                <c:pt idx="11">
                  <c:v>219.08</c:v>
                </c:pt>
                <c:pt idx="12">
                  <c:v>219.74</c:v>
                </c:pt>
                <c:pt idx="13">
                  <c:v>220.86</c:v>
                </c:pt>
                <c:pt idx="14">
                  <c:v>221.91</c:v>
                </c:pt>
                <c:pt idx="15">
                  <c:v>223.7</c:v>
                </c:pt>
                <c:pt idx="16">
                  <c:v>228.21</c:v>
                </c:pt>
                <c:pt idx="17">
                  <c:v>231.27</c:v>
                </c:pt>
                <c:pt idx="18">
                  <c:v>239.25</c:v>
                </c:pt>
                <c:pt idx="19">
                  <c:v>243.14</c:v>
                </c:pt>
                <c:pt idx="20">
                  <c:v>244.22</c:v>
                </c:pt>
                <c:pt idx="21">
                  <c:v>245.29</c:v>
                </c:pt>
                <c:pt idx="22">
                  <c:v>245.82</c:v>
                </c:pt>
                <c:pt idx="23">
                  <c:v>250.35</c:v>
                </c:pt>
                <c:pt idx="24">
                  <c:v>252.46</c:v>
                </c:pt>
                <c:pt idx="25">
                  <c:v>253.8</c:v>
                </c:pt>
                <c:pt idx="26">
                  <c:v>254.54</c:v>
                </c:pt>
                <c:pt idx="27">
                  <c:v>258.01</c:v>
                </c:pt>
                <c:pt idx="28">
                  <c:v>258.48</c:v>
                </c:pt>
                <c:pt idx="29">
                  <c:v>259.16000000000003</c:v>
                </c:pt>
                <c:pt idx="30">
                  <c:v>260.11</c:v>
                </c:pt>
                <c:pt idx="31">
                  <c:v>262.99</c:v>
                </c:pt>
                <c:pt idx="32">
                  <c:v>267.52999999999997</c:v>
                </c:pt>
                <c:pt idx="33">
                  <c:v>267.56</c:v>
                </c:pt>
                <c:pt idx="34">
                  <c:v>267.83999999999997</c:v>
                </c:pt>
                <c:pt idx="35">
                  <c:v>268.52</c:v>
                </c:pt>
                <c:pt idx="36">
                  <c:v>270.92</c:v>
                </c:pt>
                <c:pt idx="37">
                  <c:v>273.52999999999997</c:v>
                </c:pt>
                <c:pt idx="38">
                  <c:v>274.69</c:v>
                </c:pt>
                <c:pt idx="39">
                  <c:v>274.99</c:v>
                </c:pt>
                <c:pt idx="40">
                  <c:v>277.89</c:v>
                </c:pt>
                <c:pt idx="41">
                  <c:v>287.7</c:v>
                </c:pt>
                <c:pt idx="42">
                  <c:v>291.2</c:v>
                </c:pt>
                <c:pt idx="43">
                  <c:v>293.02999999999997</c:v>
                </c:pt>
                <c:pt idx="44">
                  <c:v>299.35000000000002</c:v>
                </c:pt>
                <c:pt idx="45">
                  <c:v>304.11</c:v>
                </c:pt>
                <c:pt idx="46">
                  <c:v>306.18</c:v>
                </c:pt>
                <c:pt idx="47">
                  <c:v>306.25</c:v>
                </c:pt>
                <c:pt idx="48">
                  <c:v>306.33</c:v>
                </c:pt>
                <c:pt idx="49">
                  <c:v>308.22000000000003</c:v>
                </c:pt>
                <c:pt idx="50">
                  <c:v>308.57</c:v>
                </c:pt>
                <c:pt idx="51">
                  <c:v>314.02</c:v>
                </c:pt>
                <c:pt idx="52">
                  <c:v>315.33999999999997</c:v>
                </c:pt>
                <c:pt idx="53">
                  <c:v>316.68</c:v>
                </c:pt>
                <c:pt idx="54">
                  <c:v>316.83999999999997</c:v>
                </c:pt>
                <c:pt idx="55">
                  <c:v>318.06</c:v>
                </c:pt>
                <c:pt idx="56">
                  <c:v>318.70999999999998</c:v>
                </c:pt>
                <c:pt idx="57">
                  <c:v>320.37</c:v>
                </c:pt>
                <c:pt idx="58">
                  <c:v>321.36</c:v>
                </c:pt>
                <c:pt idx="59">
                  <c:v>323.54000000000002</c:v>
                </c:pt>
                <c:pt idx="60">
                  <c:v>323.87</c:v>
                </c:pt>
                <c:pt idx="61">
                  <c:v>326.19</c:v>
                </c:pt>
                <c:pt idx="62">
                  <c:v>330.38</c:v>
                </c:pt>
                <c:pt idx="63">
                  <c:v>330.82</c:v>
                </c:pt>
                <c:pt idx="64">
                  <c:v>335.73</c:v>
                </c:pt>
                <c:pt idx="65">
                  <c:v>337.51</c:v>
                </c:pt>
                <c:pt idx="66">
                  <c:v>338.58</c:v>
                </c:pt>
                <c:pt idx="67">
                  <c:v>339.83</c:v>
                </c:pt>
                <c:pt idx="68">
                  <c:v>340.61</c:v>
                </c:pt>
                <c:pt idx="69">
                  <c:v>342.78</c:v>
                </c:pt>
                <c:pt idx="70">
                  <c:v>343.72</c:v>
                </c:pt>
                <c:pt idx="71">
                  <c:v>347.71</c:v>
                </c:pt>
                <c:pt idx="72">
                  <c:v>348.2</c:v>
                </c:pt>
                <c:pt idx="73">
                  <c:v>348.94</c:v>
                </c:pt>
                <c:pt idx="74">
                  <c:v>349.85</c:v>
                </c:pt>
                <c:pt idx="75">
                  <c:v>351.37</c:v>
                </c:pt>
                <c:pt idx="76">
                  <c:v>357.5</c:v>
                </c:pt>
                <c:pt idx="77">
                  <c:v>359.76</c:v>
                </c:pt>
                <c:pt idx="78">
                  <c:v>360.94</c:v>
                </c:pt>
                <c:pt idx="79">
                  <c:v>369.26</c:v>
                </c:pt>
                <c:pt idx="80">
                  <c:v>369.58</c:v>
                </c:pt>
                <c:pt idx="81">
                  <c:v>370.88</c:v>
                </c:pt>
                <c:pt idx="82">
                  <c:v>379.89</c:v>
                </c:pt>
                <c:pt idx="83">
                  <c:v>380.7</c:v>
                </c:pt>
                <c:pt idx="84">
                  <c:v>386.05</c:v>
                </c:pt>
                <c:pt idx="85">
                  <c:v>386.63</c:v>
                </c:pt>
                <c:pt idx="86">
                  <c:v>388.23</c:v>
                </c:pt>
                <c:pt idx="87">
                  <c:v>391.84</c:v>
                </c:pt>
                <c:pt idx="88">
                  <c:v>394.02</c:v>
                </c:pt>
                <c:pt idx="89">
                  <c:v>395.13</c:v>
                </c:pt>
                <c:pt idx="90">
                  <c:v>396.43</c:v>
                </c:pt>
                <c:pt idx="91">
                  <c:v>400.3</c:v>
                </c:pt>
                <c:pt idx="92">
                  <c:v>402.21</c:v>
                </c:pt>
                <c:pt idx="93">
                  <c:v>404.26</c:v>
                </c:pt>
                <c:pt idx="94">
                  <c:v>405.58</c:v>
                </c:pt>
                <c:pt idx="95">
                  <c:v>406.78</c:v>
                </c:pt>
                <c:pt idx="96">
                  <c:v>407.16</c:v>
                </c:pt>
                <c:pt idx="97">
                  <c:v>407.33</c:v>
                </c:pt>
                <c:pt idx="98">
                  <c:v>407.64</c:v>
                </c:pt>
                <c:pt idx="99">
                  <c:v>411.68</c:v>
                </c:pt>
                <c:pt idx="100">
                  <c:v>411.88</c:v>
                </c:pt>
                <c:pt idx="101">
                  <c:v>417.96</c:v>
                </c:pt>
                <c:pt idx="102">
                  <c:v>420.59</c:v>
                </c:pt>
                <c:pt idx="103">
                  <c:v>420.72</c:v>
                </c:pt>
                <c:pt idx="104">
                  <c:v>421.2</c:v>
                </c:pt>
                <c:pt idx="105">
                  <c:v>424.64</c:v>
                </c:pt>
                <c:pt idx="106">
                  <c:v>427.96</c:v>
                </c:pt>
                <c:pt idx="107">
                  <c:v>429.93</c:v>
                </c:pt>
                <c:pt idx="108">
                  <c:v>430.91</c:v>
                </c:pt>
                <c:pt idx="109">
                  <c:v>431.02</c:v>
                </c:pt>
                <c:pt idx="110">
                  <c:v>433.82</c:v>
                </c:pt>
                <c:pt idx="111">
                  <c:v>436.2</c:v>
                </c:pt>
                <c:pt idx="112">
                  <c:v>438.57</c:v>
                </c:pt>
                <c:pt idx="113">
                  <c:v>439.17</c:v>
                </c:pt>
                <c:pt idx="114">
                  <c:v>440.87</c:v>
                </c:pt>
                <c:pt idx="115">
                  <c:v>443.09</c:v>
                </c:pt>
                <c:pt idx="116">
                  <c:v>447.51</c:v>
                </c:pt>
                <c:pt idx="117">
                  <c:v>450.61</c:v>
                </c:pt>
                <c:pt idx="118">
                  <c:v>455</c:v>
                </c:pt>
                <c:pt idx="119">
                  <c:v>460.16</c:v>
                </c:pt>
                <c:pt idx="120">
                  <c:v>462.85</c:v>
                </c:pt>
                <c:pt idx="121">
                  <c:v>464.65</c:v>
                </c:pt>
                <c:pt idx="122">
                  <c:v>464.66</c:v>
                </c:pt>
                <c:pt idx="123">
                  <c:v>464.99</c:v>
                </c:pt>
                <c:pt idx="124">
                  <c:v>465.21</c:v>
                </c:pt>
                <c:pt idx="125">
                  <c:v>466.26</c:v>
                </c:pt>
                <c:pt idx="126">
                  <c:v>467.89</c:v>
                </c:pt>
                <c:pt idx="127">
                  <c:v>469.25</c:v>
                </c:pt>
                <c:pt idx="128">
                  <c:v>473.27</c:v>
                </c:pt>
                <c:pt idx="129">
                  <c:v>473.42</c:v>
                </c:pt>
                <c:pt idx="130">
                  <c:v>476.38</c:v>
                </c:pt>
                <c:pt idx="131">
                  <c:v>479.17</c:v>
                </c:pt>
                <c:pt idx="132">
                  <c:v>480.97</c:v>
                </c:pt>
                <c:pt idx="133">
                  <c:v>482.21</c:v>
                </c:pt>
                <c:pt idx="134">
                  <c:v>484.61</c:v>
                </c:pt>
                <c:pt idx="135">
                  <c:v>485.73</c:v>
                </c:pt>
                <c:pt idx="136">
                  <c:v>488.1</c:v>
                </c:pt>
                <c:pt idx="137">
                  <c:v>489.45</c:v>
                </c:pt>
                <c:pt idx="138">
                  <c:v>489.78</c:v>
                </c:pt>
                <c:pt idx="139">
                  <c:v>491.45</c:v>
                </c:pt>
                <c:pt idx="140">
                  <c:v>498.87</c:v>
                </c:pt>
                <c:pt idx="141">
                  <c:v>499.79</c:v>
                </c:pt>
                <c:pt idx="142">
                  <c:v>501.87</c:v>
                </c:pt>
                <c:pt idx="143">
                  <c:v>502.32</c:v>
                </c:pt>
                <c:pt idx="144">
                  <c:v>503.35</c:v>
                </c:pt>
                <c:pt idx="145">
                  <c:v>510.08</c:v>
                </c:pt>
                <c:pt idx="146">
                  <c:v>510.75</c:v>
                </c:pt>
                <c:pt idx="147">
                  <c:v>511.38</c:v>
                </c:pt>
                <c:pt idx="148">
                  <c:v>514.52</c:v>
                </c:pt>
                <c:pt idx="149">
                  <c:v>517.03</c:v>
                </c:pt>
                <c:pt idx="150">
                  <c:v>519.32000000000005</c:v>
                </c:pt>
                <c:pt idx="151">
                  <c:v>522.1</c:v>
                </c:pt>
                <c:pt idx="152">
                  <c:v>523.46</c:v>
                </c:pt>
                <c:pt idx="153">
                  <c:v>525.01</c:v>
                </c:pt>
                <c:pt idx="154">
                  <c:v>526.38</c:v>
                </c:pt>
                <c:pt idx="155">
                  <c:v>531.49</c:v>
                </c:pt>
                <c:pt idx="156">
                  <c:v>531.91999999999996</c:v>
                </c:pt>
                <c:pt idx="157">
                  <c:v>533.51</c:v>
                </c:pt>
                <c:pt idx="158">
                  <c:v>538.72</c:v>
                </c:pt>
                <c:pt idx="159">
                  <c:v>539.09</c:v>
                </c:pt>
                <c:pt idx="160">
                  <c:v>543.07000000000005</c:v>
                </c:pt>
                <c:pt idx="161">
                  <c:v>543.08000000000004</c:v>
                </c:pt>
                <c:pt idx="162">
                  <c:v>546.01</c:v>
                </c:pt>
                <c:pt idx="163">
                  <c:v>549.96</c:v>
                </c:pt>
                <c:pt idx="164">
                  <c:v>553.91</c:v>
                </c:pt>
                <c:pt idx="165">
                  <c:v>559.54999999999995</c:v>
                </c:pt>
                <c:pt idx="166">
                  <c:v>560.88</c:v>
                </c:pt>
                <c:pt idx="167">
                  <c:v>561.12</c:v>
                </c:pt>
                <c:pt idx="168">
                  <c:v>562.19000000000005</c:v>
                </c:pt>
                <c:pt idx="169">
                  <c:v>564.49</c:v>
                </c:pt>
                <c:pt idx="170">
                  <c:v>570.70000000000005</c:v>
                </c:pt>
                <c:pt idx="171">
                  <c:v>575.03</c:v>
                </c:pt>
                <c:pt idx="172">
                  <c:v>576.48</c:v>
                </c:pt>
                <c:pt idx="173">
                  <c:v>578.52</c:v>
                </c:pt>
                <c:pt idx="174">
                  <c:v>579.84</c:v>
                </c:pt>
                <c:pt idx="175">
                  <c:v>579.89</c:v>
                </c:pt>
                <c:pt idx="176">
                  <c:v>580.38</c:v>
                </c:pt>
                <c:pt idx="177">
                  <c:v>580.66</c:v>
                </c:pt>
                <c:pt idx="178">
                  <c:v>582.21</c:v>
                </c:pt>
                <c:pt idx="179">
                  <c:v>583.98</c:v>
                </c:pt>
                <c:pt idx="180">
                  <c:v>584.66</c:v>
                </c:pt>
                <c:pt idx="181">
                  <c:v>589.99</c:v>
                </c:pt>
                <c:pt idx="182">
                  <c:v>591.13</c:v>
                </c:pt>
                <c:pt idx="183">
                  <c:v>593.05999999999995</c:v>
                </c:pt>
                <c:pt idx="184">
                  <c:v>593.24</c:v>
                </c:pt>
                <c:pt idx="185">
                  <c:v>594.15</c:v>
                </c:pt>
                <c:pt idx="186">
                  <c:v>594.57000000000005</c:v>
                </c:pt>
                <c:pt idx="187">
                  <c:v>595</c:v>
                </c:pt>
                <c:pt idx="188">
                  <c:v>596.99</c:v>
                </c:pt>
                <c:pt idx="189">
                  <c:v>597.47</c:v>
                </c:pt>
                <c:pt idx="190">
                  <c:v>600.78</c:v>
                </c:pt>
                <c:pt idx="191">
                  <c:v>603.91</c:v>
                </c:pt>
                <c:pt idx="192">
                  <c:v>606.42999999999995</c:v>
                </c:pt>
                <c:pt idx="193">
                  <c:v>610.80999999999995</c:v>
                </c:pt>
                <c:pt idx="194">
                  <c:v>611.71</c:v>
                </c:pt>
                <c:pt idx="195">
                  <c:v>614.47</c:v>
                </c:pt>
                <c:pt idx="196">
                  <c:v>615.5</c:v>
                </c:pt>
                <c:pt idx="197">
                  <c:v>615.62</c:v>
                </c:pt>
                <c:pt idx="198">
                  <c:v>616.59</c:v>
                </c:pt>
                <c:pt idx="199">
                  <c:v>618.57000000000005</c:v>
                </c:pt>
                <c:pt idx="200">
                  <c:v>620.24</c:v>
                </c:pt>
                <c:pt idx="201">
                  <c:v>623.41</c:v>
                </c:pt>
                <c:pt idx="202">
                  <c:v>624.30999999999995</c:v>
                </c:pt>
                <c:pt idx="203">
                  <c:v>627.20000000000005</c:v>
                </c:pt>
                <c:pt idx="204">
                  <c:v>627.61</c:v>
                </c:pt>
                <c:pt idx="205">
                  <c:v>628.96</c:v>
                </c:pt>
                <c:pt idx="206">
                  <c:v>630.69000000000005</c:v>
                </c:pt>
                <c:pt idx="207">
                  <c:v>634.77</c:v>
                </c:pt>
                <c:pt idx="208">
                  <c:v>637.49</c:v>
                </c:pt>
                <c:pt idx="209">
                  <c:v>638.72</c:v>
                </c:pt>
                <c:pt idx="210">
                  <c:v>639.74</c:v>
                </c:pt>
                <c:pt idx="211">
                  <c:v>640.19000000000005</c:v>
                </c:pt>
                <c:pt idx="212">
                  <c:v>642.16</c:v>
                </c:pt>
                <c:pt idx="213">
                  <c:v>643.91</c:v>
                </c:pt>
                <c:pt idx="214">
                  <c:v>646.54999999999995</c:v>
                </c:pt>
                <c:pt idx="215">
                  <c:v>654.08000000000004</c:v>
                </c:pt>
                <c:pt idx="216">
                  <c:v>654.39</c:v>
                </c:pt>
                <c:pt idx="217">
                  <c:v>656.75</c:v>
                </c:pt>
                <c:pt idx="218">
                  <c:v>670.01</c:v>
                </c:pt>
                <c:pt idx="219">
                  <c:v>671.76</c:v>
                </c:pt>
                <c:pt idx="220">
                  <c:v>672.4</c:v>
                </c:pt>
                <c:pt idx="221">
                  <c:v>672.97</c:v>
                </c:pt>
                <c:pt idx="222">
                  <c:v>673.52</c:v>
                </c:pt>
                <c:pt idx="223">
                  <c:v>674.27</c:v>
                </c:pt>
                <c:pt idx="224">
                  <c:v>676.01</c:v>
                </c:pt>
                <c:pt idx="225">
                  <c:v>677.4</c:v>
                </c:pt>
                <c:pt idx="226">
                  <c:v>678.65</c:v>
                </c:pt>
                <c:pt idx="227">
                  <c:v>678.98</c:v>
                </c:pt>
                <c:pt idx="228">
                  <c:v>682.93</c:v>
                </c:pt>
                <c:pt idx="229">
                  <c:v>683.5</c:v>
                </c:pt>
                <c:pt idx="230">
                  <c:v>686.7</c:v>
                </c:pt>
                <c:pt idx="231">
                  <c:v>688.12</c:v>
                </c:pt>
                <c:pt idx="232">
                  <c:v>693.08</c:v>
                </c:pt>
                <c:pt idx="233">
                  <c:v>693.47</c:v>
                </c:pt>
                <c:pt idx="234">
                  <c:v>698.49</c:v>
                </c:pt>
                <c:pt idx="235">
                  <c:v>698.89</c:v>
                </c:pt>
                <c:pt idx="236">
                  <c:v>700.47</c:v>
                </c:pt>
                <c:pt idx="237">
                  <c:v>702.01</c:v>
                </c:pt>
                <c:pt idx="238">
                  <c:v>702.17</c:v>
                </c:pt>
                <c:pt idx="239">
                  <c:v>707.07</c:v>
                </c:pt>
                <c:pt idx="240">
                  <c:v>713.24</c:v>
                </c:pt>
                <c:pt idx="241">
                  <c:v>713.25</c:v>
                </c:pt>
                <c:pt idx="242">
                  <c:v>713.28</c:v>
                </c:pt>
                <c:pt idx="243">
                  <c:v>717.29</c:v>
                </c:pt>
                <c:pt idx="244">
                  <c:v>717.58</c:v>
                </c:pt>
                <c:pt idx="245">
                  <c:v>722.34</c:v>
                </c:pt>
                <c:pt idx="246">
                  <c:v>726.06</c:v>
                </c:pt>
                <c:pt idx="247">
                  <c:v>730.48</c:v>
                </c:pt>
                <c:pt idx="248">
                  <c:v>730.92</c:v>
                </c:pt>
                <c:pt idx="249">
                  <c:v>731.43</c:v>
                </c:pt>
                <c:pt idx="250">
                  <c:v>733.13</c:v>
                </c:pt>
                <c:pt idx="251">
                  <c:v>734.97</c:v>
                </c:pt>
                <c:pt idx="252">
                  <c:v>736.56</c:v>
                </c:pt>
                <c:pt idx="253">
                  <c:v>739.2</c:v>
                </c:pt>
                <c:pt idx="254">
                  <c:v>742.61</c:v>
                </c:pt>
                <c:pt idx="255">
                  <c:v>743.3</c:v>
                </c:pt>
                <c:pt idx="256">
                  <c:v>743.47</c:v>
                </c:pt>
                <c:pt idx="257">
                  <c:v>747.81</c:v>
                </c:pt>
                <c:pt idx="258">
                  <c:v>747.87</c:v>
                </c:pt>
                <c:pt idx="259">
                  <c:v>750.1</c:v>
                </c:pt>
                <c:pt idx="260">
                  <c:v>750.24</c:v>
                </c:pt>
                <c:pt idx="261">
                  <c:v>756.36</c:v>
                </c:pt>
                <c:pt idx="262">
                  <c:v>757.55</c:v>
                </c:pt>
                <c:pt idx="263">
                  <c:v>758.63</c:v>
                </c:pt>
                <c:pt idx="264">
                  <c:v>759.11</c:v>
                </c:pt>
                <c:pt idx="265">
                  <c:v>759.88</c:v>
                </c:pt>
                <c:pt idx="266">
                  <c:v>760.35</c:v>
                </c:pt>
                <c:pt idx="267">
                  <c:v>761.27</c:v>
                </c:pt>
                <c:pt idx="268">
                  <c:v>762.33</c:v>
                </c:pt>
                <c:pt idx="269">
                  <c:v>763.6</c:v>
                </c:pt>
                <c:pt idx="270">
                  <c:v>763.74</c:v>
                </c:pt>
                <c:pt idx="271">
                  <c:v>764.84</c:v>
                </c:pt>
                <c:pt idx="272">
                  <c:v>765.93</c:v>
                </c:pt>
                <c:pt idx="273">
                  <c:v>767.82</c:v>
                </c:pt>
                <c:pt idx="274">
                  <c:v>772.68</c:v>
                </c:pt>
                <c:pt idx="275">
                  <c:v>774.96</c:v>
                </c:pt>
                <c:pt idx="276">
                  <c:v>775.05</c:v>
                </c:pt>
                <c:pt idx="277">
                  <c:v>775.8</c:v>
                </c:pt>
                <c:pt idx="278">
                  <c:v>776.59</c:v>
                </c:pt>
                <c:pt idx="279">
                  <c:v>777.93</c:v>
                </c:pt>
                <c:pt idx="280">
                  <c:v>783.99</c:v>
                </c:pt>
                <c:pt idx="281">
                  <c:v>784.18</c:v>
                </c:pt>
                <c:pt idx="282">
                  <c:v>785.09</c:v>
                </c:pt>
                <c:pt idx="283">
                  <c:v>785.36</c:v>
                </c:pt>
                <c:pt idx="284">
                  <c:v>789.27</c:v>
                </c:pt>
                <c:pt idx="285">
                  <c:v>789.73</c:v>
                </c:pt>
                <c:pt idx="286">
                  <c:v>791.42</c:v>
                </c:pt>
                <c:pt idx="287">
                  <c:v>791.69</c:v>
                </c:pt>
                <c:pt idx="288">
                  <c:v>793.77</c:v>
                </c:pt>
                <c:pt idx="289">
                  <c:v>795.89</c:v>
                </c:pt>
                <c:pt idx="290">
                  <c:v>795.98</c:v>
                </c:pt>
                <c:pt idx="291">
                  <c:v>796.08</c:v>
                </c:pt>
                <c:pt idx="292">
                  <c:v>796.12</c:v>
                </c:pt>
                <c:pt idx="293">
                  <c:v>801.66</c:v>
                </c:pt>
                <c:pt idx="294">
                  <c:v>802.92</c:v>
                </c:pt>
                <c:pt idx="295">
                  <c:v>803.64</c:v>
                </c:pt>
                <c:pt idx="296">
                  <c:v>803.73</c:v>
                </c:pt>
                <c:pt idx="297">
                  <c:v>804.83</c:v>
                </c:pt>
                <c:pt idx="298">
                  <c:v>805.38</c:v>
                </c:pt>
                <c:pt idx="299">
                  <c:v>806.93</c:v>
                </c:pt>
                <c:pt idx="300">
                  <c:v>809</c:v>
                </c:pt>
                <c:pt idx="301">
                  <c:v>810.26</c:v>
                </c:pt>
                <c:pt idx="302">
                  <c:v>811.31</c:v>
                </c:pt>
                <c:pt idx="303">
                  <c:v>811.48</c:v>
                </c:pt>
                <c:pt idx="304">
                  <c:v>811.49</c:v>
                </c:pt>
                <c:pt idx="305">
                  <c:v>811.88</c:v>
                </c:pt>
                <c:pt idx="306">
                  <c:v>817.84</c:v>
                </c:pt>
                <c:pt idx="307">
                  <c:v>818.1</c:v>
                </c:pt>
                <c:pt idx="308">
                  <c:v>818.35</c:v>
                </c:pt>
                <c:pt idx="309">
                  <c:v>818.62</c:v>
                </c:pt>
                <c:pt idx="310">
                  <c:v>829.76</c:v>
                </c:pt>
                <c:pt idx="311">
                  <c:v>831.86</c:v>
                </c:pt>
                <c:pt idx="312">
                  <c:v>832.27</c:v>
                </c:pt>
                <c:pt idx="313">
                  <c:v>834.4</c:v>
                </c:pt>
                <c:pt idx="314">
                  <c:v>835.85</c:v>
                </c:pt>
                <c:pt idx="315">
                  <c:v>837.9</c:v>
                </c:pt>
                <c:pt idx="316">
                  <c:v>838.52</c:v>
                </c:pt>
                <c:pt idx="317">
                  <c:v>838.71</c:v>
                </c:pt>
                <c:pt idx="318">
                  <c:v>840.34</c:v>
                </c:pt>
                <c:pt idx="319">
                  <c:v>844.99</c:v>
                </c:pt>
                <c:pt idx="320">
                  <c:v>845.03</c:v>
                </c:pt>
                <c:pt idx="321">
                  <c:v>850.09</c:v>
                </c:pt>
                <c:pt idx="322">
                  <c:v>853.67</c:v>
                </c:pt>
                <c:pt idx="323">
                  <c:v>854.79</c:v>
                </c:pt>
                <c:pt idx="324">
                  <c:v>856.32</c:v>
                </c:pt>
                <c:pt idx="325">
                  <c:v>858.66</c:v>
                </c:pt>
                <c:pt idx="326">
                  <c:v>861.66</c:v>
                </c:pt>
                <c:pt idx="327">
                  <c:v>862.02</c:v>
                </c:pt>
                <c:pt idx="328">
                  <c:v>863.55</c:v>
                </c:pt>
                <c:pt idx="329">
                  <c:v>864.24</c:v>
                </c:pt>
                <c:pt idx="330">
                  <c:v>869.84</c:v>
                </c:pt>
                <c:pt idx="331">
                  <c:v>870.18</c:v>
                </c:pt>
                <c:pt idx="332">
                  <c:v>871.3</c:v>
                </c:pt>
                <c:pt idx="333">
                  <c:v>871.87</c:v>
                </c:pt>
                <c:pt idx="334">
                  <c:v>872.02</c:v>
                </c:pt>
                <c:pt idx="335">
                  <c:v>872.28</c:v>
                </c:pt>
                <c:pt idx="336">
                  <c:v>876.85</c:v>
                </c:pt>
                <c:pt idx="337">
                  <c:v>877.76</c:v>
                </c:pt>
                <c:pt idx="338">
                  <c:v>878.22</c:v>
                </c:pt>
                <c:pt idx="339">
                  <c:v>879.06</c:v>
                </c:pt>
                <c:pt idx="340">
                  <c:v>880.73</c:v>
                </c:pt>
                <c:pt idx="341">
                  <c:v>883.22</c:v>
                </c:pt>
                <c:pt idx="342">
                  <c:v>884.68</c:v>
                </c:pt>
                <c:pt idx="343">
                  <c:v>886.45</c:v>
                </c:pt>
                <c:pt idx="344">
                  <c:v>886.78</c:v>
                </c:pt>
                <c:pt idx="345">
                  <c:v>888.65</c:v>
                </c:pt>
                <c:pt idx="346">
                  <c:v>888.85</c:v>
                </c:pt>
                <c:pt idx="347">
                  <c:v>893.43</c:v>
                </c:pt>
                <c:pt idx="348">
                  <c:v>894.62</c:v>
                </c:pt>
                <c:pt idx="349">
                  <c:v>896.17</c:v>
                </c:pt>
                <c:pt idx="350">
                  <c:v>902.55</c:v>
                </c:pt>
                <c:pt idx="351">
                  <c:v>904.05</c:v>
                </c:pt>
                <c:pt idx="352">
                  <c:v>904.9</c:v>
                </c:pt>
                <c:pt idx="353">
                  <c:v>906.96</c:v>
                </c:pt>
                <c:pt idx="354">
                  <c:v>907.9</c:v>
                </c:pt>
                <c:pt idx="355">
                  <c:v>908.83</c:v>
                </c:pt>
                <c:pt idx="356">
                  <c:v>911.16</c:v>
                </c:pt>
                <c:pt idx="357">
                  <c:v>912.47</c:v>
                </c:pt>
                <c:pt idx="358">
                  <c:v>917.2</c:v>
                </c:pt>
                <c:pt idx="359">
                  <c:v>917.3</c:v>
                </c:pt>
                <c:pt idx="360">
                  <c:v>920.31</c:v>
                </c:pt>
                <c:pt idx="361">
                  <c:v>920.63</c:v>
                </c:pt>
                <c:pt idx="362">
                  <c:v>922.04</c:v>
                </c:pt>
                <c:pt idx="363">
                  <c:v>923.73</c:v>
                </c:pt>
                <c:pt idx="364">
                  <c:v>923.98</c:v>
                </c:pt>
                <c:pt idx="365">
                  <c:v>926.6</c:v>
                </c:pt>
                <c:pt idx="366">
                  <c:v>927.08</c:v>
                </c:pt>
                <c:pt idx="367">
                  <c:v>928.21</c:v>
                </c:pt>
                <c:pt idx="368">
                  <c:v>931.29</c:v>
                </c:pt>
                <c:pt idx="369">
                  <c:v>931.52</c:v>
                </c:pt>
                <c:pt idx="370">
                  <c:v>932.44</c:v>
                </c:pt>
                <c:pt idx="371">
                  <c:v>932.97</c:v>
                </c:pt>
                <c:pt idx="372">
                  <c:v>933.99</c:v>
                </c:pt>
                <c:pt idx="373">
                  <c:v>938.54</c:v>
                </c:pt>
                <c:pt idx="374">
                  <c:v>939.75</c:v>
                </c:pt>
                <c:pt idx="375">
                  <c:v>942.51</c:v>
                </c:pt>
                <c:pt idx="376">
                  <c:v>942.88</c:v>
                </c:pt>
                <c:pt idx="377">
                  <c:v>944.71</c:v>
                </c:pt>
                <c:pt idx="378">
                  <c:v>945.8</c:v>
                </c:pt>
                <c:pt idx="379">
                  <c:v>946.77</c:v>
                </c:pt>
                <c:pt idx="380">
                  <c:v>947.29</c:v>
                </c:pt>
                <c:pt idx="381">
                  <c:v>949.33</c:v>
                </c:pt>
                <c:pt idx="382">
                  <c:v>949.8</c:v>
                </c:pt>
                <c:pt idx="383">
                  <c:v>950.17</c:v>
                </c:pt>
                <c:pt idx="384">
                  <c:v>952.33</c:v>
                </c:pt>
                <c:pt idx="385">
                  <c:v>953.08</c:v>
                </c:pt>
                <c:pt idx="386">
                  <c:v>955.74</c:v>
                </c:pt>
                <c:pt idx="387">
                  <c:v>957.47</c:v>
                </c:pt>
                <c:pt idx="388">
                  <c:v>958.2</c:v>
                </c:pt>
                <c:pt idx="389">
                  <c:v>958.49</c:v>
                </c:pt>
                <c:pt idx="390">
                  <c:v>959.49</c:v>
                </c:pt>
                <c:pt idx="391">
                  <c:v>962.51</c:v>
                </c:pt>
                <c:pt idx="392">
                  <c:v>963.12</c:v>
                </c:pt>
                <c:pt idx="393">
                  <c:v>964.24</c:v>
                </c:pt>
                <c:pt idx="394">
                  <c:v>965.87</c:v>
                </c:pt>
                <c:pt idx="395">
                  <c:v>971</c:v>
                </c:pt>
                <c:pt idx="396">
                  <c:v>971.1</c:v>
                </c:pt>
                <c:pt idx="397">
                  <c:v>973.46</c:v>
                </c:pt>
                <c:pt idx="398">
                  <c:v>973.53</c:v>
                </c:pt>
                <c:pt idx="399">
                  <c:v>974.19</c:v>
                </c:pt>
                <c:pt idx="400">
                  <c:v>979.67</c:v>
                </c:pt>
                <c:pt idx="401">
                  <c:v>981.92</c:v>
                </c:pt>
                <c:pt idx="402">
                  <c:v>982.9</c:v>
                </c:pt>
                <c:pt idx="403">
                  <c:v>983.96</c:v>
                </c:pt>
                <c:pt idx="404">
                  <c:v>988.12</c:v>
                </c:pt>
                <c:pt idx="405">
                  <c:v>988.43</c:v>
                </c:pt>
                <c:pt idx="406">
                  <c:v>990.01</c:v>
                </c:pt>
                <c:pt idx="407">
                  <c:v>990.72</c:v>
                </c:pt>
                <c:pt idx="408">
                  <c:v>994.25</c:v>
                </c:pt>
                <c:pt idx="409">
                  <c:v>995.68</c:v>
                </c:pt>
                <c:pt idx="410">
                  <c:v>995.88</c:v>
                </c:pt>
                <c:pt idx="411">
                  <c:v>1001.99</c:v>
                </c:pt>
                <c:pt idx="412">
                  <c:v>1003.9</c:v>
                </c:pt>
                <c:pt idx="413">
                  <c:v>1007.41</c:v>
                </c:pt>
                <c:pt idx="414">
                  <c:v>1010.69</c:v>
                </c:pt>
                <c:pt idx="415">
                  <c:v>1010.97</c:v>
                </c:pt>
                <c:pt idx="416">
                  <c:v>1013.92</c:v>
                </c:pt>
                <c:pt idx="417">
                  <c:v>1014.17</c:v>
                </c:pt>
                <c:pt idx="418">
                  <c:v>1016.89</c:v>
                </c:pt>
                <c:pt idx="419">
                  <c:v>1017.14</c:v>
                </c:pt>
                <c:pt idx="420">
                  <c:v>1018.95</c:v>
                </c:pt>
                <c:pt idx="421">
                  <c:v>1020.45</c:v>
                </c:pt>
                <c:pt idx="422">
                  <c:v>1022.12</c:v>
                </c:pt>
                <c:pt idx="423">
                  <c:v>1025.71</c:v>
                </c:pt>
                <c:pt idx="424">
                  <c:v>1025.73</c:v>
                </c:pt>
                <c:pt idx="425">
                  <c:v>1026.44</c:v>
                </c:pt>
                <c:pt idx="426">
                  <c:v>1026.6300000000001</c:v>
                </c:pt>
                <c:pt idx="427">
                  <c:v>1030.04</c:v>
                </c:pt>
                <c:pt idx="428">
                  <c:v>1034.5999999999999</c:v>
                </c:pt>
                <c:pt idx="429">
                  <c:v>1040.51</c:v>
                </c:pt>
                <c:pt idx="430">
                  <c:v>1042.54</c:v>
                </c:pt>
                <c:pt idx="431">
                  <c:v>1042.8499999999999</c:v>
                </c:pt>
                <c:pt idx="432">
                  <c:v>1045.76</c:v>
                </c:pt>
                <c:pt idx="433">
                  <c:v>1051.3599999999999</c:v>
                </c:pt>
                <c:pt idx="434">
                  <c:v>1052.3399999999999</c:v>
                </c:pt>
                <c:pt idx="435">
                  <c:v>1053.48</c:v>
                </c:pt>
                <c:pt idx="436">
                  <c:v>1053.94</c:v>
                </c:pt>
                <c:pt idx="437">
                  <c:v>1058.5</c:v>
                </c:pt>
                <c:pt idx="438">
                  <c:v>1059.3599999999999</c:v>
                </c:pt>
                <c:pt idx="439">
                  <c:v>1061.3499999999999</c:v>
                </c:pt>
                <c:pt idx="440">
                  <c:v>1061.76</c:v>
                </c:pt>
                <c:pt idx="441">
                  <c:v>1062.73</c:v>
                </c:pt>
                <c:pt idx="442">
                  <c:v>1065.31</c:v>
                </c:pt>
                <c:pt idx="443">
                  <c:v>1071.32</c:v>
                </c:pt>
                <c:pt idx="444">
                  <c:v>1072.43</c:v>
                </c:pt>
                <c:pt idx="445">
                  <c:v>1075.18</c:v>
                </c:pt>
                <c:pt idx="446">
                  <c:v>1076.99</c:v>
                </c:pt>
                <c:pt idx="447">
                  <c:v>1087.17</c:v>
                </c:pt>
                <c:pt idx="448">
                  <c:v>1088.03</c:v>
                </c:pt>
                <c:pt idx="449">
                  <c:v>1088.0899999999999</c:v>
                </c:pt>
                <c:pt idx="450">
                  <c:v>1091.33</c:v>
                </c:pt>
                <c:pt idx="451">
                  <c:v>1092.18</c:v>
                </c:pt>
                <c:pt idx="452">
                  <c:v>1093.8699999999999</c:v>
                </c:pt>
                <c:pt idx="453">
                  <c:v>1094.1500000000001</c:v>
                </c:pt>
                <c:pt idx="454">
                  <c:v>1095.7</c:v>
                </c:pt>
                <c:pt idx="455">
                  <c:v>1099.5899999999999</c:v>
                </c:pt>
                <c:pt idx="456">
                  <c:v>1099.9000000000001</c:v>
                </c:pt>
                <c:pt idx="457">
                  <c:v>1101.27</c:v>
                </c:pt>
                <c:pt idx="458">
                  <c:v>1102.48</c:v>
                </c:pt>
                <c:pt idx="459">
                  <c:v>1103.68</c:v>
                </c:pt>
                <c:pt idx="460">
                  <c:v>1105.42</c:v>
                </c:pt>
                <c:pt idx="461">
                  <c:v>1105.6300000000001</c:v>
                </c:pt>
                <c:pt idx="462">
                  <c:v>1109.77</c:v>
                </c:pt>
                <c:pt idx="463">
                  <c:v>1110.0899999999999</c:v>
                </c:pt>
                <c:pt idx="464">
                  <c:v>1110.44</c:v>
                </c:pt>
                <c:pt idx="465">
                  <c:v>1110.71</c:v>
                </c:pt>
                <c:pt idx="466">
                  <c:v>1111.23</c:v>
                </c:pt>
                <c:pt idx="467">
                  <c:v>1114.55</c:v>
                </c:pt>
                <c:pt idx="468">
                  <c:v>1117.4000000000001</c:v>
                </c:pt>
                <c:pt idx="469">
                  <c:v>1117.9000000000001</c:v>
                </c:pt>
                <c:pt idx="470">
                  <c:v>1117.94</c:v>
                </c:pt>
                <c:pt idx="471">
                  <c:v>1118.02</c:v>
                </c:pt>
                <c:pt idx="472">
                  <c:v>1125.68</c:v>
                </c:pt>
                <c:pt idx="473">
                  <c:v>1128.57</c:v>
                </c:pt>
                <c:pt idx="474">
                  <c:v>1130.68</c:v>
                </c:pt>
                <c:pt idx="475">
                  <c:v>1131.4000000000001</c:v>
                </c:pt>
                <c:pt idx="476">
                  <c:v>1132.3699999999999</c:v>
                </c:pt>
                <c:pt idx="477">
                  <c:v>1142.96</c:v>
                </c:pt>
                <c:pt idx="478">
                  <c:v>1147.8</c:v>
                </c:pt>
                <c:pt idx="479">
                  <c:v>1148.21</c:v>
                </c:pt>
                <c:pt idx="480">
                  <c:v>1148.25</c:v>
                </c:pt>
                <c:pt idx="481">
                  <c:v>1154.6099999999999</c:v>
                </c:pt>
                <c:pt idx="482">
                  <c:v>1154.7</c:v>
                </c:pt>
                <c:pt idx="483">
                  <c:v>1158.3</c:v>
                </c:pt>
                <c:pt idx="484">
                  <c:v>1159.3</c:v>
                </c:pt>
                <c:pt idx="485">
                  <c:v>1160.58</c:v>
                </c:pt>
                <c:pt idx="486">
                  <c:v>1161.76</c:v>
                </c:pt>
                <c:pt idx="487">
                  <c:v>1164.29</c:v>
                </c:pt>
                <c:pt idx="488">
                  <c:v>1164.57</c:v>
                </c:pt>
                <c:pt idx="489">
                  <c:v>1164.69</c:v>
                </c:pt>
                <c:pt idx="490">
                  <c:v>1177.7</c:v>
                </c:pt>
                <c:pt idx="491">
                  <c:v>1183.01</c:v>
                </c:pt>
                <c:pt idx="492">
                  <c:v>1184.3900000000001</c:v>
                </c:pt>
                <c:pt idx="493">
                  <c:v>1185.28</c:v>
                </c:pt>
                <c:pt idx="494">
                  <c:v>1187.23</c:v>
                </c:pt>
                <c:pt idx="495">
                  <c:v>1188.1500000000001</c:v>
                </c:pt>
                <c:pt idx="496">
                  <c:v>1196.97</c:v>
                </c:pt>
                <c:pt idx="497">
                  <c:v>1197.33</c:v>
                </c:pt>
                <c:pt idx="498">
                  <c:v>1198.45</c:v>
                </c:pt>
              </c:numCache>
            </c:numRef>
          </c:xVal>
          <c:yVal>
            <c:numRef>
              <c:f>'Pivot Tables'!$E$506:$E$1004</c:f>
              <c:numCache>
                <c:formatCode>0.00</c:formatCode>
                <c:ptCount val="499"/>
                <c:pt idx="0">
                  <c:v>4249.2700000000004</c:v>
                </c:pt>
                <c:pt idx="1">
                  <c:v>6187.9</c:v>
                </c:pt>
                <c:pt idx="2">
                  <c:v>6462.14</c:v>
                </c:pt>
                <c:pt idx="3">
                  <c:v>6057.1</c:v>
                </c:pt>
                <c:pt idx="4">
                  <c:v>3194.7</c:v>
                </c:pt>
                <c:pt idx="5">
                  <c:v>5141.67</c:v>
                </c:pt>
                <c:pt idx="6">
                  <c:v>1864.45</c:v>
                </c:pt>
                <c:pt idx="7">
                  <c:v>1757.68</c:v>
                </c:pt>
                <c:pt idx="8">
                  <c:v>3753.49</c:v>
                </c:pt>
                <c:pt idx="9">
                  <c:v>6442.2</c:v>
                </c:pt>
                <c:pt idx="10">
                  <c:v>5000.53</c:v>
                </c:pt>
                <c:pt idx="11">
                  <c:v>4977.8900000000003</c:v>
                </c:pt>
                <c:pt idx="12">
                  <c:v>6968.08</c:v>
                </c:pt>
                <c:pt idx="13">
                  <c:v>4840.8500000000004</c:v>
                </c:pt>
                <c:pt idx="14">
                  <c:v>5363.01</c:v>
                </c:pt>
                <c:pt idx="15">
                  <c:v>5351.5</c:v>
                </c:pt>
                <c:pt idx="16">
                  <c:v>5428.63</c:v>
                </c:pt>
                <c:pt idx="17">
                  <c:v>1400.08</c:v>
                </c:pt>
                <c:pt idx="18">
                  <c:v>2474.33</c:v>
                </c:pt>
                <c:pt idx="19">
                  <c:v>4544.75</c:v>
                </c:pt>
                <c:pt idx="20">
                  <c:v>6482.53</c:v>
                </c:pt>
                <c:pt idx="21">
                  <c:v>1018.09</c:v>
                </c:pt>
                <c:pt idx="22">
                  <c:v>6170.24</c:v>
                </c:pt>
                <c:pt idx="23">
                  <c:v>2923.8</c:v>
                </c:pt>
                <c:pt idx="24">
                  <c:v>5550.45</c:v>
                </c:pt>
                <c:pt idx="25">
                  <c:v>5728.67</c:v>
                </c:pt>
                <c:pt idx="26">
                  <c:v>1935.95</c:v>
                </c:pt>
                <c:pt idx="27">
                  <c:v>4786.2</c:v>
                </c:pt>
                <c:pt idx="28">
                  <c:v>1928.78</c:v>
                </c:pt>
                <c:pt idx="29">
                  <c:v>6783.48</c:v>
                </c:pt>
                <c:pt idx="30">
                  <c:v>1110.33</c:v>
                </c:pt>
                <c:pt idx="31">
                  <c:v>2158.56</c:v>
                </c:pt>
                <c:pt idx="32">
                  <c:v>5576.36</c:v>
                </c:pt>
                <c:pt idx="33">
                  <c:v>3239.81</c:v>
                </c:pt>
                <c:pt idx="34">
                  <c:v>2207.12</c:v>
                </c:pt>
                <c:pt idx="35">
                  <c:v>6764.67</c:v>
                </c:pt>
                <c:pt idx="36">
                  <c:v>5780.55</c:v>
                </c:pt>
                <c:pt idx="37">
                  <c:v>4370.8999999999996</c:v>
                </c:pt>
                <c:pt idx="38">
                  <c:v>2957.51</c:v>
                </c:pt>
                <c:pt idx="39">
                  <c:v>4868.1099999999997</c:v>
                </c:pt>
                <c:pt idx="40">
                  <c:v>2489.58</c:v>
                </c:pt>
                <c:pt idx="41">
                  <c:v>6028.09</c:v>
                </c:pt>
                <c:pt idx="42">
                  <c:v>4753.63</c:v>
                </c:pt>
                <c:pt idx="43">
                  <c:v>6835.36</c:v>
                </c:pt>
                <c:pt idx="44">
                  <c:v>3660.3</c:v>
                </c:pt>
                <c:pt idx="45">
                  <c:v>2909.3</c:v>
                </c:pt>
                <c:pt idx="46">
                  <c:v>1784.6</c:v>
                </c:pt>
                <c:pt idx="47">
                  <c:v>5612.24</c:v>
                </c:pt>
                <c:pt idx="48">
                  <c:v>2024.14</c:v>
                </c:pt>
                <c:pt idx="49">
                  <c:v>1928.38</c:v>
                </c:pt>
                <c:pt idx="50">
                  <c:v>1413.06</c:v>
                </c:pt>
                <c:pt idx="51">
                  <c:v>4599.71</c:v>
                </c:pt>
                <c:pt idx="52">
                  <c:v>3398.07</c:v>
                </c:pt>
                <c:pt idx="53">
                  <c:v>6456.33</c:v>
                </c:pt>
                <c:pt idx="54">
                  <c:v>1995.82</c:v>
                </c:pt>
                <c:pt idx="55">
                  <c:v>1761.58</c:v>
                </c:pt>
                <c:pt idx="56">
                  <c:v>3688.59</c:v>
                </c:pt>
                <c:pt idx="57">
                  <c:v>5118.03</c:v>
                </c:pt>
                <c:pt idx="58">
                  <c:v>1301.31</c:v>
                </c:pt>
                <c:pt idx="59">
                  <c:v>5268.82</c:v>
                </c:pt>
                <c:pt idx="60">
                  <c:v>5941.04</c:v>
                </c:pt>
                <c:pt idx="61">
                  <c:v>6906.21</c:v>
                </c:pt>
                <c:pt idx="62">
                  <c:v>1510.47</c:v>
                </c:pt>
                <c:pt idx="63">
                  <c:v>2660.08</c:v>
                </c:pt>
                <c:pt idx="64">
                  <c:v>2713.46</c:v>
                </c:pt>
                <c:pt idx="65">
                  <c:v>2103.86</c:v>
                </c:pt>
                <c:pt idx="66">
                  <c:v>2975.71</c:v>
                </c:pt>
                <c:pt idx="67">
                  <c:v>3109.21</c:v>
                </c:pt>
                <c:pt idx="68">
                  <c:v>1520.43</c:v>
                </c:pt>
                <c:pt idx="69">
                  <c:v>3437.26</c:v>
                </c:pt>
                <c:pt idx="70">
                  <c:v>3792.38</c:v>
                </c:pt>
                <c:pt idx="71">
                  <c:v>6512.68</c:v>
                </c:pt>
                <c:pt idx="72">
                  <c:v>5690.11</c:v>
                </c:pt>
                <c:pt idx="73">
                  <c:v>5281.55</c:v>
                </c:pt>
                <c:pt idx="74">
                  <c:v>1673.25</c:v>
                </c:pt>
                <c:pt idx="75">
                  <c:v>3640.6</c:v>
                </c:pt>
                <c:pt idx="76">
                  <c:v>3019.37</c:v>
                </c:pt>
                <c:pt idx="77">
                  <c:v>6811.44</c:v>
                </c:pt>
                <c:pt idx="78">
                  <c:v>1339.63</c:v>
                </c:pt>
                <c:pt idx="79">
                  <c:v>2924.43</c:v>
                </c:pt>
                <c:pt idx="80">
                  <c:v>4357.22</c:v>
                </c:pt>
                <c:pt idx="81">
                  <c:v>1959.4</c:v>
                </c:pt>
                <c:pt idx="82">
                  <c:v>3233.86</c:v>
                </c:pt>
                <c:pt idx="83">
                  <c:v>2857.11</c:v>
                </c:pt>
                <c:pt idx="84">
                  <c:v>2672.14</c:v>
                </c:pt>
                <c:pt idx="85">
                  <c:v>4354.1499999999996</c:v>
                </c:pt>
                <c:pt idx="86">
                  <c:v>4270.71</c:v>
                </c:pt>
                <c:pt idx="87">
                  <c:v>3414.4</c:v>
                </c:pt>
                <c:pt idx="88">
                  <c:v>4695.96</c:v>
                </c:pt>
                <c:pt idx="89">
                  <c:v>3154.24</c:v>
                </c:pt>
                <c:pt idx="90">
                  <c:v>6050.76</c:v>
                </c:pt>
                <c:pt idx="91">
                  <c:v>3478.64</c:v>
                </c:pt>
                <c:pt idx="92">
                  <c:v>5318.93</c:v>
                </c:pt>
                <c:pt idx="93">
                  <c:v>1491.9</c:v>
                </c:pt>
                <c:pt idx="94">
                  <c:v>2279.0500000000002</c:v>
                </c:pt>
                <c:pt idx="95">
                  <c:v>2198</c:v>
                </c:pt>
                <c:pt idx="96">
                  <c:v>6572.6</c:v>
                </c:pt>
                <c:pt idx="97">
                  <c:v>3789.31</c:v>
                </c:pt>
                <c:pt idx="98">
                  <c:v>1724.42</c:v>
                </c:pt>
                <c:pt idx="99">
                  <c:v>5726.67</c:v>
                </c:pt>
                <c:pt idx="100">
                  <c:v>1136.49</c:v>
                </c:pt>
                <c:pt idx="101">
                  <c:v>3841.37</c:v>
                </c:pt>
                <c:pt idx="102">
                  <c:v>1979.62</c:v>
                </c:pt>
                <c:pt idx="103">
                  <c:v>5207.88</c:v>
                </c:pt>
                <c:pt idx="104">
                  <c:v>1956.22</c:v>
                </c:pt>
                <c:pt idx="105">
                  <c:v>3011.13</c:v>
                </c:pt>
                <c:pt idx="106">
                  <c:v>3949.72</c:v>
                </c:pt>
                <c:pt idx="107">
                  <c:v>4801.97</c:v>
                </c:pt>
                <c:pt idx="108">
                  <c:v>4402.26</c:v>
                </c:pt>
                <c:pt idx="109">
                  <c:v>6763.52</c:v>
                </c:pt>
                <c:pt idx="110">
                  <c:v>4831.3</c:v>
                </c:pt>
                <c:pt idx="111">
                  <c:v>5476.4549999999999</c:v>
                </c:pt>
                <c:pt idx="112">
                  <c:v>4541.01</c:v>
                </c:pt>
                <c:pt idx="113">
                  <c:v>5514.35</c:v>
                </c:pt>
                <c:pt idx="114">
                  <c:v>6272.33</c:v>
                </c:pt>
                <c:pt idx="115">
                  <c:v>5766.34</c:v>
                </c:pt>
                <c:pt idx="116">
                  <c:v>3544.77</c:v>
                </c:pt>
                <c:pt idx="117">
                  <c:v>6684.9</c:v>
                </c:pt>
                <c:pt idx="118">
                  <c:v>4343.72</c:v>
                </c:pt>
                <c:pt idx="119">
                  <c:v>3571.68</c:v>
                </c:pt>
                <c:pt idx="120">
                  <c:v>3169.61</c:v>
                </c:pt>
                <c:pt idx="121">
                  <c:v>1595.4</c:v>
                </c:pt>
                <c:pt idx="122">
                  <c:v>6975.75</c:v>
                </c:pt>
                <c:pt idx="123">
                  <c:v>1226.42</c:v>
                </c:pt>
                <c:pt idx="124">
                  <c:v>1532.36</c:v>
                </c:pt>
                <c:pt idx="125">
                  <c:v>5414.01</c:v>
                </c:pt>
                <c:pt idx="126">
                  <c:v>5595.52</c:v>
                </c:pt>
                <c:pt idx="127">
                  <c:v>3988.94</c:v>
                </c:pt>
                <c:pt idx="128">
                  <c:v>4340.4399999999996</c:v>
                </c:pt>
                <c:pt idx="129">
                  <c:v>3990.25</c:v>
                </c:pt>
                <c:pt idx="130">
                  <c:v>1454.29</c:v>
                </c:pt>
                <c:pt idx="131">
                  <c:v>6973.99</c:v>
                </c:pt>
                <c:pt idx="132">
                  <c:v>5702.58</c:v>
                </c:pt>
                <c:pt idx="133">
                  <c:v>5924.52</c:v>
                </c:pt>
                <c:pt idx="134">
                  <c:v>4894.79</c:v>
                </c:pt>
                <c:pt idx="135">
                  <c:v>2435.48</c:v>
                </c:pt>
                <c:pt idx="136">
                  <c:v>6009.78</c:v>
                </c:pt>
                <c:pt idx="137">
                  <c:v>6671.94</c:v>
                </c:pt>
                <c:pt idx="138">
                  <c:v>5517.04</c:v>
                </c:pt>
                <c:pt idx="139">
                  <c:v>2885.1</c:v>
                </c:pt>
                <c:pt idx="140">
                  <c:v>4326.8500000000004</c:v>
                </c:pt>
                <c:pt idx="141">
                  <c:v>5969.74</c:v>
                </c:pt>
                <c:pt idx="142">
                  <c:v>3566.8</c:v>
                </c:pt>
                <c:pt idx="143">
                  <c:v>5976.74</c:v>
                </c:pt>
                <c:pt idx="144">
                  <c:v>5592.61</c:v>
                </c:pt>
                <c:pt idx="145">
                  <c:v>2196.8200000000002</c:v>
                </c:pt>
                <c:pt idx="146">
                  <c:v>1173.22</c:v>
                </c:pt>
                <c:pt idx="147">
                  <c:v>5824.02</c:v>
                </c:pt>
                <c:pt idx="148">
                  <c:v>3402.71</c:v>
                </c:pt>
                <c:pt idx="149">
                  <c:v>5614.99</c:v>
                </c:pt>
                <c:pt idx="150">
                  <c:v>3294.92</c:v>
                </c:pt>
                <c:pt idx="151">
                  <c:v>6196.47</c:v>
                </c:pt>
                <c:pt idx="152">
                  <c:v>5176.68</c:v>
                </c:pt>
                <c:pt idx="153">
                  <c:v>3273.94</c:v>
                </c:pt>
                <c:pt idx="154">
                  <c:v>4683.1899999999996</c:v>
                </c:pt>
                <c:pt idx="155">
                  <c:v>3410.32</c:v>
                </c:pt>
                <c:pt idx="156">
                  <c:v>6172.83</c:v>
                </c:pt>
                <c:pt idx="157">
                  <c:v>2272.63</c:v>
                </c:pt>
                <c:pt idx="158">
                  <c:v>6665.13</c:v>
                </c:pt>
                <c:pt idx="159">
                  <c:v>1580.09</c:v>
                </c:pt>
                <c:pt idx="160">
                  <c:v>1515.13</c:v>
                </c:pt>
                <c:pt idx="161">
                  <c:v>2801.58</c:v>
                </c:pt>
                <c:pt idx="162">
                  <c:v>4368.01</c:v>
                </c:pt>
                <c:pt idx="163">
                  <c:v>3821.84</c:v>
                </c:pt>
                <c:pt idx="164">
                  <c:v>4074.65</c:v>
                </c:pt>
                <c:pt idx="165">
                  <c:v>5337.3</c:v>
                </c:pt>
                <c:pt idx="166">
                  <c:v>1603.16</c:v>
                </c:pt>
                <c:pt idx="167">
                  <c:v>3526.61</c:v>
                </c:pt>
                <c:pt idx="168">
                  <c:v>5933.99</c:v>
                </c:pt>
                <c:pt idx="169">
                  <c:v>5160.75</c:v>
                </c:pt>
                <c:pt idx="170">
                  <c:v>5334.48</c:v>
                </c:pt>
                <c:pt idx="171">
                  <c:v>1042.68</c:v>
                </c:pt>
                <c:pt idx="172">
                  <c:v>2832.76</c:v>
                </c:pt>
                <c:pt idx="173">
                  <c:v>4266.1000000000004</c:v>
                </c:pt>
                <c:pt idx="174">
                  <c:v>2771.15</c:v>
                </c:pt>
                <c:pt idx="175">
                  <c:v>6692.94</c:v>
                </c:pt>
                <c:pt idx="176">
                  <c:v>5744.44</c:v>
                </c:pt>
                <c:pt idx="177">
                  <c:v>2435.9899999999998</c:v>
                </c:pt>
                <c:pt idx="178">
                  <c:v>6383.05</c:v>
                </c:pt>
                <c:pt idx="179">
                  <c:v>4778.59</c:v>
                </c:pt>
                <c:pt idx="180">
                  <c:v>4636.96</c:v>
                </c:pt>
                <c:pt idx="181">
                  <c:v>1035.3800000000001</c:v>
                </c:pt>
                <c:pt idx="182">
                  <c:v>4112.79</c:v>
                </c:pt>
                <c:pt idx="183">
                  <c:v>3086.62</c:v>
                </c:pt>
                <c:pt idx="184">
                  <c:v>2851.24</c:v>
                </c:pt>
                <c:pt idx="185">
                  <c:v>4647.58</c:v>
                </c:pt>
                <c:pt idx="186">
                  <c:v>6803.62</c:v>
                </c:pt>
                <c:pt idx="187">
                  <c:v>6544.79</c:v>
                </c:pt>
                <c:pt idx="188">
                  <c:v>2054.73</c:v>
                </c:pt>
                <c:pt idx="189">
                  <c:v>1491.62</c:v>
                </c:pt>
                <c:pt idx="190">
                  <c:v>1557.71</c:v>
                </c:pt>
                <c:pt idx="191">
                  <c:v>6639.47</c:v>
                </c:pt>
                <c:pt idx="192">
                  <c:v>6688.38</c:v>
                </c:pt>
                <c:pt idx="193">
                  <c:v>4518.79</c:v>
                </c:pt>
                <c:pt idx="194">
                  <c:v>5419.39</c:v>
                </c:pt>
                <c:pt idx="195">
                  <c:v>2143.4699999999998</c:v>
                </c:pt>
                <c:pt idx="196">
                  <c:v>1540.8</c:v>
                </c:pt>
                <c:pt idx="197">
                  <c:v>3721.26</c:v>
                </c:pt>
                <c:pt idx="198">
                  <c:v>2587.94</c:v>
                </c:pt>
                <c:pt idx="199">
                  <c:v>4932.3999999999996</c:v>
                </c:pt>
                <c:pt idx="200">
                  <c:v>1904.1</c:v>
                </c:pt>
                <c:pt idx="201">
                  <c:v>6474.69</c:v>
                </c:pt>
                <c:pt idx="202">
                  <c:v>3073.39</c:v>
                </c:pt>
                <c:pt idx="203">
                  <c:v>2650.92</c:v>
                </c:pt>
                <c:pt idx="204">
                  <c:v>3945.69</c:v>
                </c:pt>
                <c:pt idx="205">
                  <c:v>3524.1</c:v>
                </c:pt>
                <c:pt idx="206">
                  <c:v>5776.86</c:v>
                </c:pt>
                <c:pt idx="207">
                  <c:v>5611.59</c:v>
                </c:pt>
                <c:pt idx="208">
                  <c:v>4518.62</c:v>
                </c:pt>
                <c:pt idx="209">
                  <c:v>4350.1000000000004</c:v>
                </c:pt>
                <c:pt idx="210">
                  <c:v>3216.41</c:v>
                </c:pt>
                <c:pt idx="211">
                  <c:v>3477.69</c:v>
                </c:pt>
                <c:pt idx="212">
                  <c:v>2261.1</c:v>
                </c:pt>
                <c:pt idx="213">
                  <c:v>2838.98</c:v>
                </c:pt>
                <c:pt idx="214">
                  <c:v>4479.54</c:v>
                </c:pt>
                <c:pt idx="215">
                  <c:v>3696.31</c:v>
                </c:pt>
                <c:pt idx="216">
                  <c:v>5172.34</c:v>
                </c:pt>
                <c:pt idx="217">
                  <c:v>1607.74</c:v>
                </c:pt>
                <c:pt idx="218">
                  <c:v>3615.31</c:v>
                </c:pt>
                <c:pt idx="219">
                  <c:v>1015.41</c:v>
                </c:pt>
                <c:pt idx="220">
                  <c:v>1314.95</c:v>
                </c:pt>
                <c:pt idx="221">
                  <c:v>6294.3</c:v>
                </c:pt>
                <c:pt idx="222">
                  <c:v>2799.33</c:v>
                </c:pt>
                <c:pt idx="223">
                  <c:v>2529.34</c:v>
                </c:pt>
                <c:pt idx="224">
                  <c:v>1561</c:v>
                </c:pt>
                <c:pt idx="225">
                  <c:v>4800.93</c:v>
                </c:pt>
                <c:pt idx="226">
                  <c:v>1181.58</c:v>
                </c:pt>
                <c:pt idx="227">
                  <c:v>4860.04</c:v>
                </c:pt>
                <c:pt idx="228">
                  <c:v>5417.28</c:v>
                </c:pt>
                <c:pt idx="229">
                  <c:v>2074.87</c:v>
                </c:pt>
                <c:pt idx="230">
                  <c:v>4890.34</c:v>
                </c:pt>
                <c:pt idx="231">
                  <c:v>5106.78</c:v>
                </c:pt>
                <c:pt idx="232">
                  <c:v>5395.51</c:v>
                </c:pt>
                <c:pt idx="233">
                  <c:v>4261.01</c:v>
                </c:pt>
                <c:pt idx="234">
                  <c:v>2125.5</c:v>
                </c:pt>
                <c:pt idx="235">
                  <c:v>1891.79</c:v>
                </c:pt>
                <c:pt idx="236">
                  <c:v>5132.07</c:v>
                </c:pt>
                <c:pt idx="237">
                  <c:v>6582.83</c:v>
                </c:pt>
                <c:pt idx="238">
                  <c:v>1803.29</c:v>
                </c:pt>
                <c:pt idx="239">
                  <c:v>6185.5</c:v>
                </c:pt>
                <c:pt idx="240">
                  <c:v>1381.35</c:v>
                </c:pt>
                <c:pt idx="241">
                  <c:v>4062.25</c:v>
                </c:pt>
                <c:pt idx="242">
                  <c:v>5066.17</c:v>
                </c:pt>
                <c:pt idx="243">
                  <c:v>2566.88</c:v>
                </c:pt>
                <c:pt idx="244">
                  <c:v>6970.9</c:v>
                </c:pt>
                <c:pt idx="245">
                  <c:v>1219.32</c:v>
                </c:pt>
                <c:pt idx="246">
                  <c:v>1513.68</c:v>
                </c:pt>
                <c:pt idx="247">
                  <c:v>5445.81</c:v>
                </c:pt>
                <c:pt idx="248">
                  <c:v>2459.83</c:v>
                </c:pt>
                <c:pt idx="249">
                  <c:v>4688.49</c:v>
                </c:pt>
                <c:pt idx="250">
                  <c:v>3260.95</c:v>
                </c:pt>
                <c:pt idx="251">
                  <c:v>2923.86</c:v>
                </c:pt>
                <c:pt idx="252">
                  <c:v>3541.45</c:v>
                </c:pt>
                <c:pt idx="253">
                  <c:v>6762.47</c:v>
                </c:pt>
                <c:pt idx="254">
                  <c:v>2283.7199999999998</c:v>
                </c:pt>
                <c:pt idx="255">
                  <c:v>3010.25</c:v>
                </c:pt>
                <c:pt idx="256">
                  <c:v>2276.56</c:v>
                </c:pt>
                <c:pt idx="257">
                  <c:v>4615.1499999999996</c:v>
                </c:pt>
                <c:pt idx="258">
                  <c:v>6352.12</c:v>
                </c:pt>
                <c:pt idx="259">
                  <c:v>4383.1000000000004</c:v>
                </c:pt>
                <c:pt idx="260">
                  <c:v>4378.87</c:v>
                </c:pt>
                <c:pt idx="261">
                  <c:v>5362.62</c:v>
                </c:pt>
                <c:pt idx="262">
                  <c:v>6293.01</c:v>
                </c:pt>
                <c:pt idx="263">
                  <c:v>2566.65</c:v>
                </c:pt>
                <c:pt idx="264">
                  <c:v>1541</c:v>
                </c:pt>
                <c:pt idx="265">
                  <c:v>2497.1799999999998</c:v>
                </c:pt>
                <c:pt idx="266">
                  <c:v>5467.56</c:v>
                </c:pt>
                <c:pt idx="267">
                  <c:v>3715.57</c:v>
                </c:pt>
                <c:pt idx="268">
                  <c:v>1545.37</c:v>
                </c:pt>
                <c:pt idx="269">
                  <c:v>2080.23</c:v>
                </c:pt>
                <c:pt idx="270">
                  <c:v>6707.75</c:v>
                </c:pt>
                <c:pt idx="271">
                  <c:v>6454.01</c:v>
                </c:pt>
                <c:pt idx="272">
                  <c:v>2809.5</c:v>
                </c:pt>
                <c:pt idx="273">
                  <c:v>4032.57</c:v>
                </c:pt>
                <c:pt idx="274">
                  <c:v>4752.2</c:v>
                </c:pt>
                <c:pt idx="275">
                  <c:v>1325.61</c:v>
                </c:pt>
                <c:pt idx="276">
                  <c:v>3998.98</c:v>
                </c:pt>
                <c:pt idx="277">
                  <c:v>1648.59</c:v>
                </c:pt>
                <c:pt idx="278">
                  <c:v>3618.36</c:v>
                </c:pt>
                <c:pt idx="279">
                  <c:v>3717.85</c:v>
                </c:pt>
                <c:pt idx="280">
                  <c:v>3571.05</c:v>
                </c:pt>
                <c:pt idx="281">
                  <c:v>2602.5300000000002</c:v>
                </c:pt>
                <c:pt idx="282">
                  <c:v>3253.19</c:v>
                </c:pt>
                <c:pt idx="283">
                  <c:v>1394.09</c:v>
                </c:pt>
                <c:pt idx="284">
                  <c:v>2193.0300000000002</c:v>
                </c:pt>
                <c:pt idx="285">
                  <c:v>5008.8500000000004</c:v>
                </c:pt>
                <c:pt idx="286">
                  <c:v>3653.25</c:v>
                </c:pt>
                <c:pt idx="287">
                  <c:v>5437.46</c:v>
                </c:pt>
                <c:pt idx="288">
                  <c:v>1044.0899999999999</c:v>
                </c:pt>
                <c:pt idx="289">
                  <c:v>3532.96</c:v>
                </c:pt>
                <c:pt idx="290">
                  <c:v>2397.9899999999998</c:v>
                </c:pt>
                <c:pt idx="291">
                  <c:v>5017.63</c:v>
                </c:pt>
                <c:pt idx="292">
                  <c:v>1516.72</c:v>
                </c:pt>
                <c:pt idx="293">
                  <c:v>3942.62</c:v>
                </c:pt>
                <c:pt idx="294">
                  <c:v>1309.22</c:v>
                </c:pt>
                <c:pt idx="295">
                  <c:v>5562.04</c:v>
                </c:pt>
                <c:pt idx="296">
                  <c:v>3279.56</c:v>
                </c:pt>
                <c:pt idx="297">
                  <c:v>5454.5</c:v>
                </c:pt>
                <c:pt idx="298">
                  <c:v>2901.27</c:v>
                </c:pt>
                <c:pt idx="299">
                  <c:v>5142.8599999999997</c:v>
                </c:pt>
                <c:pt idx="300">
                  <c:v>1684.08</c:v>
                </c:pt>
                <c:pt idx="301">
                  <c:v>2421.6799999999998</c:v>
                </c:pt>
                <c:pt idx="302">
                  <c:v>6175.82</c:v>
                </c:pt>
                <c:pt idx="303">
                  <c:v>5143</c:v>
                </c:pt>
                <c:pt idx="304">
                  <c:v>3065.59</c:v>
                </c:pt>
                <c:pt idx="305">
                  <c:v>2567.8200000000002</c:v>
                </c:pt>
                <c:pt idx="306">
                  <c:v>6300.05</c:v>
                </c:pt>
                <c:pt idx="307">
                  <c:v>3382.08</c:v>
                </c:pt>
                <c:pt idx="308">
                  <c:v>5039.79</c:v>
                </c:pt>
                <c:pt idx="309">
                  <c:v>4515.25</c:v>
                </c:pt>
                <c:pt idx="310">
                  <c:v>6750.78</c:v>
                </c:pt>
                <c:pt idx="311">
                  <c:v>4685.74</c:v>
                </c:pt>
                <c:pt idx="312">
                  <c:v>3153.51</c:v>
                </c:pt>
                <c:pt idx="313">
                  <c:v>6107.28</c:v>
                </c:pt>
                <c:pt idx="314">
                  <c:v>4544.99</c:v>
                </c:pt>
                <c:pt idx="315">
                  <c:v>2444.98</c:v>
                </c:pt>
                <c:pt idx="316">
                  <c:v>1253.1199999999999</c:v>
                </c:pt>
                <c:pt idx="317">
                  <c:v>6326.81</c:v>
                </c:pt>
                <c:pt idx="318">
                  <c:v>1112.5899999999999</c:v>
                </c:pt>
                <c:pt idx="319">
                  <c:v>5884.4</c:v>
                </c:pt>
                <c:pt idx="320">
                  <c:v>1998.03</c:v>
                </c:pt>
                <c:pt idx="321">
                  <c:v>6527.15</c:v>
                </c:pt>
                <c:pt idx="322">
                  <c:v>6938.65</c:v>
                </c:pt>
                <c:pt idx="323">
                  <c:v>6280.81</c:v>
                </c:pt>
                <c:pt idx="324">
                  <c:v>3838.96</c:v>
                </c:pt>
                <c:pt idx="325">
                  <c:v>1835.07</c:v>
                </c:pt>
                <c:pt idx="326">
                  <c:v>5114.4399999999996</c:v>
                </c:pt>
                <c:pt idx="327">
                  <c:v>6125.27</c:v>
                </c:pt>
                <c:pt idx="328">
                  <c:v>1758.47</c:v>
                </c:pt>
                <c:pt idx="329">
                  <c:v>2182.21</c:v>
                </c:pt>
                <c:pt idx="330">
                  <c:v>5461.74</c:v>
                </c:pt>
                <c:pt idx="331">
                  <c:v>3188.99</c:v>
                </c:pt>
                <c:pt idx="332">
                  <c:v>4483.57</c:v>
                </c:pt>
                <c:pt idx="333">
                  <c:v>4207.8100000000004</c:v>
                </c:pt>
                <c:pt idx="334">
                  <c:v>1403.75</c:v>
                </c:pt>
                <c:pt idx="335">
                  <c:v>6771.47</c:v>
                </c:pt>
                <c:pt idx="336">
                  <c:v>4478.57</c:v>
                </c:pt>
                <c:pt idx="337">
                  <c:v>3113.93</c:v>
                </c:pt>
                <c:pt idx="338">
                  <c:v>1682.91</c:v>
                </c:pt>
                <c:pt idx="339">
                  <c:v>6696.8</c:v>
                </c:pt>
                <c:pt idx="340">
                  <c:v>5647.64</c:v>
                </c:pt>
                <c:pt idx="341">
                  <c:v>1380.05</c:v>
                </c:pt>
                <c:pt idx="342">
                  <c:v>5881.05</c:v>
                </c:pt>
                <c:pt idx="343">
                  <c:v>3404.24</c:v>
                </c:pt>
                <c:pt idx="344">
                  <c:v>2744.97</c:v>
                </c:pt>
                <c:pt idx="345">
                  <c:v>5378.37</c:v>
                </c:pt>
                <c:pt idx="346">
                  <c:v>1981.08</c:v>
                </c:pt>
                <c:pt idx="347">
                  <c:v>3538.23</c:v>
                </c:pt>
                <c:pt idx="348">
                  <c:v>1389.56</c:v>
                </c:pt>
                <c:pt idx="349">
                  <c:v>2212.41</c:v>
                </c:pt>
                <c:pt idx="350">
                  <c:v>5476.65</c:v>
                </c:pt>
                <c:pt idx="351">
                  <c:v>2686.51</c:v>
                </c:pt>
                <c:pt idx="352">
                  <c:v>6648.91</c:v>
                </c:pt>
                <c:pt idx="353">
                  <c:v>3819.47</c:v>
                </c:pt>
                <c:pt idx="354">
                  <c:v>5450.16</c:v>
                </c:pt>
                <c:pt idx="355">
                  <c:v>5190.88</c:v>
                </c:pt>
                <c:pt idx="356">
                  <c:v>2290.12</c:v>
                </c:pt>
                <c:pt idx="357">
                  <c:v>2118.5</c:v>
                </c:pt>
                <c:pt idx="358">
                  <c:v>2047.29</c:v>
                </c:pt>
                <c:pt idx="359">
                  <c:v>1901.44</c:v>
                </c:pt>
                <c:pt idx="360">
                  <c:v>2009.4</c:v>
                </c:pt>
                <c:pt idx="361">
                  <c:v>4483.88</c:v>
                </c:pt>
                <c:pt idx="362">
                  <c:v>6846.39</c:v>
                </c:pt>
                <c:pt idx="363">
                  <c:v>4347.78</c:v>
                </c:pt>
                <c:pt idx="364">
                  <c:v>6669.93</c:v>
                </c:pt>
                <c:pt idx="365">
                  <c:v>3226.07</c:v>
                </c:pt>
                <c:pt idx="366">
                  <c:v>3985.14</c:v>
                </c:pt>
                <c:pt idx="367">
                  <c:v>4920.7299999999996</c:v>
                </c:pt>
                <c:pt idx="368">
                  <c:v>6770.43</c:v>
                </c:pt>
                <c:pt idx="369">
                  <c:v>6960.9</c:v>
                </c:pt>
                <c:pt idx="370">
                  <c:v>1924.47</c:v>
                </c:pt>
                <c:pt idx="371">
                  <c:v>3616.74</c:v>
                </c:pt>
                <c:pt idx="372">
                  <c:v>2339.42</c:v>
                </c:pt>
                <c:pt idx="373">
                  <c:v>3285.3</c:v>
                </c:pt>
                <c:pt idx="374">
                  <c:v>6096.65</c:v>
                </c:pt>
                <c:pt idx="375">
                  <c:v>1984.93</c:v>
                </c:pt>
                <c:pt idx="376">
                  <c:v>1723.94</c:v>
                </c:pt>
                <c:pt idx="377">
                  <c:v>3297.83</c:v>
                </c:pt>
                <c:pt idx="378">
                  <c:v>4143.78</c:v>
                </c:pt>
                <c:pt idx="379">
                  <c:v>5106.3999999999996</c:v>
                </c:pt>
                <c:pt idx="380">
                  <c:v>2829.02</c:v>
                </c:pt>
                <c:pt idx="381">
                  <c:v>4433.7</c:v>
                </c:pt>
                <c:pt idx="382">
                  <c:v>3711.95</c:v>
                </c:pt>
                <c:pt idx="383">
                  <c:v>6906.37</c:v>
                </c:pt>
                <c:pt idx="384">
                  <c:v>3333.01</c:v>
                </c:pt>
                <c:pt idx="385">
                  <c:v>3714.65</c:v>
                </c:pt>
                <c:pt idx="386">
                  <c:v>5855.8</c:v>
                </c:pt>
                <c:pt idx="387">
                  <c:v>6796.33</c:v>
                </c:pt>
                <c:pt idx="388">
                  <c:v>2876.24</c:v>
                </c:pt>
                <c:pt idx="389">
                  <c:v>5597.08</c:v>
                </c:pt>
                <c:pt idx="390">
                  <c:v>3650.3</c:v>
                </c:pt>
                <c:pt idx="391">
                  <c:v>4833.7</c:v>
                </c:pt>
                <c:pt idx="392">
                  <c:v>4095.46</c:v>
                </c:pt>
                <c:pt idx="393">
                  <c:v>5054.87</c:v>
                </c:pt>
                <c:pt idx="394">
                  <c:v>6681.75</c:v>
                </c:pt>
                <c:pt idx="395">
                  <c:v>6967.21</c:v>
                </c:pt>
                <c:pt idx="396">
                  <c:v>1925.52</c:v>
                </c:pt>
                <c:pt idx="397">
                  <c:v>3205.37</c:v>
                </c:pt>
                <c:pt idx="398">
                  <c:v>1413.56</c:v>
                </c:pt>
                <c:pt idx="399">
                  <c:v>3902.56</c:v>
                </c:pt>
                <c:pt idx="400">
                  <c:v>6853.88</c:v>
                </c:pt>
                <c:pt idx="401">
                  <c:v>4154.88</c:v>
                </c:pt>
                <c:pt idx="402">
                  <c:v>4581.46</c:v>
                </c:pt>
                <c:pt idx="403">
                  <c:v>1064.26</c:v>
                </c:pt>
                <c:pt idx="404">
                  <c:v>1825.39</c:v>
                </c:pt>
                <c:pt idx="405">
                  <c:v>1154.68</c:v>
                </c:pt>
                <c:pt idx="406">
                  <c:v>6275.96</c:v>
                </c:pt>
                <c:pt idx="407">
                  <c:v>6522.35</c:v>
                </c:pt>
                <c:pt idx="408">
                  <c:v>4348.12</c:v>
                </c:pt>
                <c:pt idx="409">
                  <c:v>3750.7</c:v>
                </c:pt>
                <c:pt idx="410">
                  <c:v>3932.2</c:v>
                </c:pt>
                <c:pt idx="411">
                  <c:v>3241.75</c:v>
                </c:pt>
                <c:pt idx="412">
                  <c:v>4300.7299999999996</c:v>
                </c:pt>
                <c:pt idx="413">
                  <c:v>1534.85</c:v>
                </c:pt>
                <c:pt idx="414">
                  <c:v>2913.27</c:v>
                </c:pt>
                <c:pt idx="415">
                  <c:v>4008.2</c:v>
                </c:pt>
                <c:pt idx="416">
                  <c:v>3894.25</c:v>
                </c:pt>
                <c:pt idx="417">
                  <c:v>3763.71</c:v>
                </c:pt>
                <c:pt idx="418">
                  <c:v>4017.44</c:v>
                </c:pt>
                <c:pt idx="419">
                  <c:v>5680.73</c:v>
                </c:pt>
                <c:pt idx="420">
                  <c:v>5657.37</c:v>
                </c:pt>
                <c:pt idx="421">
                  <c:v>5982.18</c:v>
                </c:pt>
                <c:pt idx="422">
                  <c:v>2689.1</c:v>
                </c:pt>
                <c:pt idx="423">
                  <c:v>5341.48</c:v>
                </c:pt>
                <c:pt idx="424">
                  <c:v>4229.04</c:v>
                </c:pt>
                <c:pt idx="425">
                  <c:v>4982.26</c:v>
                </c:pt>
                <c:pt idx="426">
                  <c:v>4267.37</c:v>
                </c:pt>
                <c:pt idx="427">
                  <c:v>4448.87</c:v>
                </c:pt>
                <c:pt idx="428">
                  <c:v>6298.64</c:v>
                </c:pt>
                <c:pt idx="429">
                  <c:v>3333.14</c:v>
                </c:pt>
                <c:pt idx="430">
                  <c:v>5009.29</c:v>
                </c:pt>
                <c:pt idx="431">
                  <c:v>6552.35</c:v>
                </c:pt>
                <c:pt idx="432">
                  <c:v>2353.5</c:v>
                </c:pt>
                <c:pt idx="433">
                  <c:v>4299.9799999999996</c:v>
                </c:pt>
                <c:pt idx="434">
                  <c:v>3384.9</c:v>
                </c:pt>
                <c:pt idx="435">
                  <c:v>4890.74</c:v>
                </c:pt>
                <c:pt idx="436">
                  <c:v>3857.57</c:v>
                </c:pt>
                <c:pt idx="437">
                  <c:v>5712</c:v>
                </c:pt>
                <c:pt idx="438">
                  <c:v>3976.89</c:v>
                </c:pt>
                <c:pt idx="439">
                  <c:v>6246.92</c:v>
                </c:pt>
                <c:pt idx="440">
                  <c:v>6000.13</c:v>
                </c:pt>
                <c:pt idx="441">
                  <c:v>4181.1899999999996</c:v>
                </c:pt>
                <c:pt idx="442">
                  <c:v>6184.98</c:v>
                </c:pt>
                <c:pt idx="443">
                  <c:v>3761.82</c:v>
                </c:pt>
                <c:pt idx="444">
                  <c:v>3851.69</c:v>
                </c:pt>
                <c:pt idx="445">
                  <c:v>6107.77</c:v>
                </c:pt>
                <c:pt idx="446">
                  <c:v>1024.74</c:v>
                </c:pt>
                <c:pt idx="447">
                  <c:v>6206.32</c:v>
                </c:pt>
                <c:pt idx="448">
                  <c:v>4464.3900000000003</c:v>
                </c:pt>
                <c:pt idx="449">
                  <c:v>5210.68</c:v>
                </c:pt>
                <c:pt idx="450">
                  <c:v>1812.57</c:v>
                </c:pt>
                <c:pt idx="451">
                  <c:v>1837.23</c:v>
                </c:pt>
                <c:pt idx="452">
                  <c:v>4423.83</c:v>
                </c:pt>
                <c:pt idx="453">
                  <c:v>1783.57</c:v>
                </c:pt>
                <c:pt idx="454">
                  <c:v>3354.53</c:v>
                </c:pt>
                <c:pt idx="455">
                  <c:v>5351.12</c:v>
                </c:pt>
                <c:pt idx="456">
                  <c:v>4628.1099999999997</c:v>
                </c:pt>
                <c:pt idx="457">
                  <c:v>6843.04</c:v>
                </c:pt>
                <c:pt idx="458">
                  <c:v>6990.6</c:v>
                </c:pt>
                <c:pt idx="459">
                  <c:v>3534.77</c:v>
                </c:pt>
                <c:pt idx="460">
                  <c:v>1425.96</c:v>
                </c:pt>
                <c:pt idx="461">
                  <c:v>2828.15</c:v>
                </c:pt>
                <c:pt idx="462">
                  <c:v>5878.94</c:v>
                </c:pt>
                <c:pt idx="463">
                  <c:v>1803.3</c:v>
                </c:pt>
                <c:pt idx="464">
                  <c:v>6245.14</c:v>
                </c:pt>
                <c:pt idx="465">
                  <c:v>5606.69</c:v>
                </c:pt>
                <c:pt idx="466">
                  <c:v>5358.47</c:v>
                </c:pt>
                <c:pt idx="467">
                  <c:v>2888.07</c:v>
                </c:pt>
                <c:pt idx="468">
                  <c:v>5748.28</c:v>
                </c:pt>
                <c:pt idx="469">
                  <c:v>2240.64</c:v>
                </c:pt>
                <c:pt idx="470">
                  <c:v>3636.53</c:v>
                </c:pt>
                <c:pt idx="471">
                  <c:v>3933.37</c:v>
                </c:pt>
                <c:pt idx="472">
                  <c:v>3219.56</c:v>
                </c:pt>
                <c:pt idx="473">
                  <c:v>1869.09</c:v>
                </c:pt>
                <c:pt idx="474">
                  <c:v>1480.24</c:v>
                </c:pt>
                <c:pt idx="475">
                  <c:v>3393.58</c:v>
                </c:pt>
                <c:pt idx="476">
                  <c:v>4403.76</c:v>
                </c:pt>
                <c:pt idx="477">
                  <c:v>2900.07</c:v>
                </c:pt>
                <c:pt idx="478">
                  <c:v>2446.92</c:v>
                </c:pt>
                <c:pt idx="479">
                  <c:v>4909.17</c:v>
                </c:pt>
                <c:pt idx="480">
                  <c:v>3392.47</c:v>
                </c:pt>
                <c:pt idx="481">
                  <c:v>4259.1499999999996</c:v>
                </c:pt>
                <c:pt idx="482">
                  <c:v>5546.66</c:v>
                </c:pt>
                <c:pt idx="483">
                  <c:v>1895.92</c:v>
                </c:pt>
                <c:pt idx="484">
                  <c:v>2603.9499999999998</c:v>
                </c:pt>
                <c:pt idx="485">
                  <c:v>4443.79</c:v>
                </c:pt>
                <c:pt idx="486">
                  <c:v>5783.85</c:v>
                </c:pt>
                <c:pt idx="487">
                  <c:v>4279.6899999999996</c:v>
                </c:pt>
                <c:pt idx="488">
                  <c:v>5716.49</c:v>
                </c:pt>
                <c:pt idx="489">
                  <c:v>2945.41</c:v>
                </c:pt>
                <c:pt idx="490">
                  <c:v>4828.49</c:v>
                </c:pt>
                <c:pt idx="491">
                  <c:v>1157.7</c:v>
                </c:pt>
                <c:pt idx="492">
                  <c:v>4105.66</c:v>
                </c:pt>
                <c:pt idx="493">
                  <c:v>4282.28</c:v>
                </c:pt>
                <c:pt idx="494">
                  <c:v>1946.48</c:v>
                </c:pt>
                <c:pt idx="495">
                  <c:v>1048.3800000000001</c:v>
                </c:pt>
                <c:pt idx="496">
                  <c:v>1548.41</c:v>
                </c:pt>
                <c:pt idx="497">
                  <c:v>6386.94</c:v>
                </c:pt>
                <c:pt idx="498">
                  <c:v>6614.41</c:v>
                </c:pt>
              </c:numCache>
            </c:numRef>
          </c:yVal>
          <c:smooth val="0"/>
          <c:extLst>
            <c:ext xmlns:c16="http://schemas.microsoft.com/office/drawing/2014/chart" uri="{C3380CC4-5D6E-409C-BE32-E72D297353CC}">
              <c16:uniqueId val="{00000000-9EB4-459E-9EF3-42F3580FEF4D}"/>
            </c:ext>
          </c:extLst>
        </c:ser>
        <c:dLbls>
          <c:showLegendKey val="0"/>
          <c:showVal val="0"/>
          <c:showCatName val="0"/>
          <c:showSerName val="0"/>
          <c:showPercent val="0"/>
          <c:showBubbleSize val="0"/>
        </c:dLbls>
        <c:axId val="1775305136"/>
        <c:axId val="1775321936"/>
      </c:scatterChart>
      <c:valAx>
        <c:axId val="177530513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321936"/>
        <c:crosses val="autoZero"/>
        <c:crossBetween val="midCat"/>
      </c:valAx>
      <c:valAx>
        <c:axId val="17753219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30513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[Agricultural_Crop_Yield_new.xlsx]Pivot Tables!PivotTable12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Tables'!$E$62</c:f>
              <c:strCache>
                <c:ptCount val="1"/>
                <c:pt idx="0">
                  <c:v>Total</c:v>
                </c:pt>
              </c:strCache>
            </c:strRef>
          </c:tx>
          <c:spPr>
            <a:solidFill>
              <a:schemeClr val="accent1"/>
            </a:solidFill>
            <a:ln>
              <a:noFill/>
            </a:ln>
            <a:effectLst/>
          </c:spPr>
          <c:invertIfNegative val="0"/>
          <c:cat>
            <c:strRef>
              <c:f>'Pivot Tables'!$D$63:$D$67</c:f>
              <c:strCache>
                <c:ptCount val="4"/>
                <c:pt idx="0">
                  <c:v>Borewell</c:v>
                </c:pt>
                <c:pt idx="1">
                  <c:v>Canal</c:v>
                </c:pt>
                <c:pt idx="2">
                  <c:v>Drip</c:v>
                </c:pt>
                <c:pt idx="3">
                  <c:v>Rainfed</c:v>
                </c:pt>
              </c:strCache>
            </c:strRef>
          </c:cat>
          <c:val>
            <c:numRef>
              <c:f>'Pivot Tables'!$E$63:$E$67</c:f>
              <c:numCache>
                <c:formatCode>0.00</c:formatCode>
                <c:ptCount val="4"/>
                <c:pt idx="0">
                  <c:v>5445.6100000000024</c:v>
                </c:pt>
                <c:pt idx="1">
                  <c:v>5846.6100000000006</c:v>
                </c:pt>
                <c:pt idx="2">
                  <c:v>6974.4000000000051</c:v>
                </c:pt>
                <c:pt idx="3">
                  <c:v>6580.61</c:v>
                </c:pt>
              </c:numCache>
            </c:numRef>
          </c:val>
          <c:extLst>
            <c:ext xmlns:c16="http://schemas.microsoft.com/office/drawing/2014/chart" uri="{C3380CC4-5D6E-409C-BE32-E72D297353CC}">
              <c16:uniqueId val="{00000000-F08A-417A-887C-41AC46AF76D6}"/>
            </c:ext>
          </c:extLst>
        </c:ser>
        <c:dLbls>
          <c:showLegendKey val="0"/>
          <c:showVal val="0"/>
          <c:showCatName val="0"/>
          <c:showSerName val="0"/>
          <c:showPercent val="0"/>
          <c:showBubbleSize val="0"/>
        </c:dLbls>
        <c:gapWidth val="150"/>
        <c:overlap val="100"/>
        <c:axId val="1775328176"/>
        <c:axId val="1775325296"/>
      </c:barChart>
      <c:catAx>
        <c:axId val="1775328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325296"/>
        <c:crosses val="autoZero"/>
        <c:auto val="1"/>
        <c:lblAlgn val="ctr"/>
        <c:lblOffset val="100"/>
        <c:noMultiLvlLbl val="0"/>
      </c:catAx>
      <c:valAx>
        <c:axId val="177532529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328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12</xdr:col>
      <xdr:colOff>392083</xdr:colOff>
      <xdr:row>5</xdr:row>
      <xdr:rowOff>45843</xdr:rowOff>
    </xdr:from>
    <xdr:to>
      <xdr:col>20</xdr:col>
      <xdr:colOff>155863</xdr:colOff>
      <xdr:row>17</xdr:row>
      <xdr:rowOff>186923</xdr:rowOff>
    </xdr:to>
    <xdr:graphicFrame macro="">
      <xdr:nvGraphicFramePr>
        <xdr:cNvPr id="2" name="Chart 1">
          <a:extLst>
            <a:ext uri="{FF2B5EF4-FFF2-40B4-BE49-F238E27FC236}">
              <a16:creationId xmlns:a16="http://schemas.microsoft.com/office/drawing/2014/main" id="{552A0BBE-3E2F-41A9-B217-247C23C8D1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388620</xdr:colOff>
      <xdr:row>19</xdr:row>
      <xdr:rowOff>167640</xdr:rowOff>
    </xdr:from>
    <xdr:to>
      <xdr:col>7</xdr:col>
      <xdr:colOff>139959</xdr:colOff>
      <xdr:row>32</xdr:row>
      <xdr:rowOff>178837</xdr:rowOff>
    </xdr:to>
    <xdr:graphicFrame macro="">
      <xdr:nvGraphicFramePr>
        <xdr:cNvPr id="3" name="Chart 2">
          <a:extLst>
            <a:ext uri="{FF2B5EF4-FFF2-40B4-BE49-F238E27FC236}">
              <a16:creationId xmlns:a16="http://schemas.microsoft.com/office/drawing/2014/main" id="{21C89177-9D23-4F76-A3DC-574ABF9662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417275</xdr:colOff>
      <xdr:row>5</xdr:row>
      <xdr:rowOff>40179</xdr:rowOff>
    </xdr:from>
    <xdr:to>
      <xdr:col>12</xdr:col>
      <xdr:colOff>242454</xdr:colOff>
      <xdr:row>17</xdr:row>
      <xdr:rowOff>165054</xdr:rowOff>
    </xdr:to>
    <xdr:graphicFrame macro="">
      <xdr:nvGraphicFramePr>
        <xdr:cNvPr id="4" name="Chart 3">
          <a:extLst>
            <a:ext uri="{FF2B5EF4-FFF2-40B4-BE49-F238E27FC236}">
              <a16:creationId xmlns:a16="http://schemas.microsoft.com/office/drawing/2014/main" id="{D6F3B5A0-4EF3-4F58-9583-A595A12867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329909</xdr:colOff>
      <xdr:row>19</xdr:row>
      <xdr:rowOff>177949</xdr:rowOff>
    </xdr:from>
    <xdr:to>
      <xdr:col>13</xdr:col>
      <xdr:colOff>121227</xdr:colOff>
      <xdr:row>32</xdr:row>
      <xdr:rowOff>17318</xdr:rowOff>
    </xdr:to>
    <xdr:graphicFrame macro="">
      <xdr:nvGraphicFramePr>
        <xdr:cNvPr id="5" name="Chart 4">
          <a:extLst>
            <a:ext uri="{FF2B5EF4-FFF2-40B4-BE49-F238E27FC236}">
              <a16:creationId xmlns:a16="http://schemas.microsoft.com/office/drawing/2014/main" id="{DE3F2B74-5193-4E2B-A2E5-B05DE25B87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399220</xdr:colOff>
      <xdr:row>5</xdr:row>
      <xdr:rowOff>35186</xdr:rowOff>
    </xdr:from>
    <xdr:to>
      <xdr:col>7</xdr:col>
      <xdr:colOff>114891</xdr:colOff>
      <xdr:row>17</xdr:row>
      <xdr:rowOff>155627</xdr:rowOff>
    </xdr:to>
    <xdr:graphicFrame macro="">
      <xdr:nvGraphicFramePr>
        <xdr:cNvPr id="6" name="Chart 5">
          <a:extLst>
            <a:ext uri="{FF2B5EF4-FFF2-40B4-BE49-F238E27FC236}">
              <a16:creationId xmlns:a16="http://schemas.microsoft.com/office/drawing/2014/main" id="{3F3BAA3E-09AE-418D-AFA6-5B0ACC3891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329044</xdr:colOff>
      <xdr:row>19</xdr:row>
      <xdr:rowOff>158466</xdr:rowOff>
    </xdr:from>
    <xdr:to>
      <xdr:col>20</xdr:col>
      <xdr:colOff>469064</xdr:colOff>
      <xdr:row>32</xdr:row>
      <xdr:rowOff>178683</xdr:rowOff>
    </xdr:to>
    <xdr:graphicFrame macro="">
      <xdr:nvGraphicFramePr>
        <xdr:cNvPr id="7" name="Chart 6">
          <a:extLst>
            <a:ext uri="{FF2B5EF4-FFF2-40B4-BE49-F238E27FC236}">
              <a16:creationId xmlns:a16="http://schemas.microsoft.com/office/drawing/2014/main" id="{E662B8A4-89CF-4F64-97FD-A76A7E0641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582258</xdr:colOff>
      <xdr:row>35</xdr:row>
      <xdr:rowOff>53639</xdr:rowOff>
    </xdr:from>
    <xdr:to>
      <xdr:col>12</xdr:col>
      <xdr:colOff>29882</xdr:colOff>
      <xdr:row>49</xdr:row>
      <xdr:rowOff>114599</xdr:rowOff>
    </xdr:to>
    <xdr:graphicFrame macro="">
      <xdr:nvGraphicFramePr>
        <xdr:cNvPr id="9" name="Chart 8">
          <a:extLst>
            <a:ext uri="{FF2B5EF4-FFF2-40B4-BE49-F238E27FC236}">
              <a16:creationId xmlns:a16="http://schemas.microsoft.com/office/drawing/2014/main" id="{98A3F246-F3A2-4FDD-BBA5-64A3D6C476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396240</xdr:colOff>
      <xdr:row>35</xdr:row>
      <xdr:rowOff>45720</xdr:rowOff>
    </xdr:from>
    <xdr:to>
      <xdr:col>7</xdr:col>
      <xdr:colOff>38100</xdr:colOff>
      <xdr:row>49</xdr:row>
      <xdr:rowOff>175260</xdr:rowOff>
    </xdr:to>
    <xdr:graphicFrame macro="">
      <xdr:nvGraphicFramePr>
        <xdr:cNvPr id="10" name="Chart 9">
          <a:extLst>
            <a:ext uri="{FF2B5EF4-FFF2-40B4-BE49-F238E27FC236}">
              <a16:creationId xmlns:a16="http://schemas.microsoft.com/office/drawing/2014/main" id="{BB922F1F-1428-4F44-887E-D7C4E1F20A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567914</xdr:colOff>
      <xdr:row>34</xdr:row>
      <xdr:rowOff>159721</xdr:rowOff>
    </xdr:from>
    <xdr:to>
      <xdr:col>20</xdr:col>
      <xdr:colOff>255495</xdr:colOff>
      <xdr:row>49</xdr:row>
      <xdr:rowOff>83521</xdr:rowOff>
    </xdr:to>
    <xdr:graphicFrame macro="">
      <xdr:nvGraphicFramePr>
        <xdr:cNvPr id="11" name="Chart 10">
          <a:extLst>
            <a:ext uri="{FF2B5EF4-FFF2-40B4-BE49-F238E27FC236}">
              <a16:creationId xmlns:a16="http://schemas.microsoft.com/office/drawing/2014/main" id="{0E14473A-B6EB-448D-BEFE-6F17E3F868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21</xdr:col>
      <xdr:colOff>28642</xdr:colOff>
      <xdr:row>5</xdr:row>
      <xdr:rowOff>92599</xdr:rowOff>
    </xdr:from>
    <xdr:to>
      <xdr:col>23</xdr:col>
      <xdr:colOff>497846</xdr:colOff>
      <xdr:row>17</xdr:row>
      <xdr:rowOff>168798</xdr:rowOff>
    </xdr:to>
    <mc:AlternateContent xmlns:mc="http://schemas.openxmlformats.org/markup-compatibility/2006">
      <mc:Choice xmlns:a14="http://schemas.microsoft.com/office/drawing/2010/main" Requires="a14">
        <xdr:graphicFrame macro="">
          <xdr:nvGraphicFramePr>
            <xdr:cNvPr id="12" name="Year-Month">
              <a:extLst>
                <a:ext uri="{FF2B5EF4-FFF2-40B4-BE49-F238E27FC236}">
                  <a16:creationId xmlns:a16="http://schemas.microsoft.com/office/drawing/2014/main" id="{8C0DA0BB-2B50-4FF3-93CE-ED3CF896B73A}"/>
                </a:ext>
              </a:extLst>
            </xdr:cNvPr>
            <xdr:cNvGraphicFramePr/>
          </xdr:nvGraphicFramePr>
          <xdr:xfrm>
            <a:off x="0" y="0"/>
            <a:ext cx="0" cy="0"/>
          </xdr:xfrm>
          <a:graphic>
            <a:graphicData uri="http://schemas.microsoft.com/office/drawing/2010/slicer">
              <sle:slicer xmlns:sle="http://schemas.microsoft.com/office/drawing/2010/slicer" name="Year-Month"/>
            </a:graphicData>
          </a:graphic>
        </xdr:graphicFrame>
      </mc:Choice>
      <mc:Fallback>
        <xdr:sp macro="" textlink="">
          <xdr:nvSpPr>
            <xdr:cNvPr id="0" name=""/>
            <xdr:cNvSpPr>
              <a:spLocks noTextEdit="1"/>
            </xdr:cNvSpPr>
          </xdr:nvSpPr>
          <xdr:spPr>
            <a:xfrm>
              <a:off x="13250010" y="1429441"/>
              <a:ext cx="1699099" cy="23220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37436</xdr:colOff>
      <xdr:row>30</xdr:row>
      <xdr:rowOff>97318</xdr:rowOff>
    </xdr:from>
    <xdr:to>
      <xdr:col>28</xdr:col>
      <xdr:colOff>49928</xdr:colOff>
      <xdr:row>39</xdr:row>
      <xdr:rowOff>56720</xdr:rowOff>
    </xdr:to>
    <mc:AlternateContent xmlns:mc="http://schemas.openxmlformats.org/markup-compatibility/2006">
      <mc:Choice xmlns:a14="http://schemas.microsoft.com/office/drawing/2010/main" Requires="a14">
        <xdr:graphicFrame macro="">
          <xdr:nvGraphicFramePr>
            <xdr:cNvPr id="18" name="Fertilizer Type">
              <a:extLst>
                <a:ext uri="{FF2B5EF4-FFF2-40B4-BE49-F238E27FC236}">
                  <a16:creationId xmlns:a16="http://schemas.microsoft.com/office/drawing/2014/main" id="{444BF906-EBAF-48C2-9F09-5237862FE13A}"/>
                </a:ext>
              </a:extLst>
            </xdr:cNvPr>
            <xdr:cNvGraphicFramePr/>
          </xdr:nvGraphicFramePr>
          <xdr:xfrm>
            <a:off x="0" y="0"/>
            <a:ext cx="0" cy="0"/>
          </xdr:xfrm>
          <a:graphic>
            <a:graphicData uri="http://schemas.microsoft.com/office/drawing/2010/slicer">
              <sle:slicer xmlns:sle="http://schemas.microsoft.com/office/drawing/2010/slicer" name="Fertilizer Type"/>
            </a:graphicData>
          </a:graphic>
        </xdr:graphicFrame>
      </mc:Choice>
      <mc:Fallback>
        <xdr:sp macro="" textlink="">
          <xdr:nvSpPr>
            <xdr:cNvPr id="0" name=""/>
            <xdr:cNvSpPr>
              <a:spLocks noTextEdit="1"/>
            </xdr:cNvSpPr>
          </xdr:nvSpPr>
          <xdr:spPr>
            <a:xfrm>
              <a:off x="15718594" y="6113107"/>
              <a:ext cx="1857334" cy="16438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213461</xdr:colOff>
      <xdr:row>31</xdr:row>
      <xdr:rowOff>35348</xdr:rowOff>
    </xdr:from>
    <xdr:to>
      <xdr:col>24</xdr:col>
      <xdr:colOff>205967</xdr:colOff>
      <xdr:row>44</xdr:row>
      <xdr:rowOff>55215</xdr:rowOff>
    </xdr:to>
    <mc:AlternateContent xmlns:mc="http://schemas.openxmlformats.org/markup-compatibility/2006">
      <mc:Choice xmlns:a14="http://schemas.microsoft.com/office/drawing/2010/main" Requires="a14">
        <xdr:graphicFrame macro="">
          <xdr:nvGraphicFramePr>
            <xdr:cNvPr id="20" name="State">
              <a:extLst>
                <a:ext uri="{FF2B5EF4-FFF2-40B4-BE49-F238E27FC236}">
                  <a16:creationId xmlns:a16="http://schemas.microsoft.com/office/drawing/2014/main" id="{BAE7F54C-6012-47EB-9626-7A485782EDD1}"/>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3434829" y="6238295"/>
              <a:ext cx="1837349" cy="2452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145747</xdr:colOff>
      <xdr:row>20</xdr:row>
      <xdr:rowOff>122720</xdr:rowOff>
    </xdr:from>
    <xdr:to>
      <xdr:col>24</xdr:col>
      <xdr:colOff>180726</xdr:colOff>
      <xdr:row>29</xdr:row>
      <xdr:rowOff>85247</xdr:rowOff>
    </xdr:to>
    <mc:AlternateContent xmlns:mc="http://schemas.openxmlformats.org/markup-compatibility/2006">
      <mc:Choice xmlns:a14="http://schemas.microsoft.com/office/drawing/2010/main" Requires="a14">
        <xdr:graphicFrame macro="">
          <xdr:nvGraphicFramePr>
            <xdr:cNvPr id="21" name="Fertilizer Type 1">
              <a:extLst>
                <a:ext uri="{FF2B5EF4-FFF2-40B4-BE49-F238E27FC236}">
                  <a16:creationId xmlns:a16="http://schemas.microsoft.com/office/drawing/2014/main" id="{D14B805C-3502-4506-A4C0-B6837C678AE0}"/>
                </a:ext>
              </a:extLst>
            </xdr:cNvPr>
            <xdr:cNvGraphicFramePr/>
          </xdr:nvGraphicFramePr>
          <xdr:xfrm>
            <a:off x="0" y="0"/>
            <a:ext cx="0" cy="0"/>
          </xdr:xfrm>
          <a:graphic>
            <a:graphicData uri="http://schemas.microsoft.com/office/drawing/2010/slicer">
              <sle:slicer xmlns:sle="http://schemas.microsoft.com/office/drawing/2010/slicer" name="Fertilizer Type 1"/>
            </a:graphicData>
          </a:graphic>
        </xdr:graphicFrame>
      </mc:Choice>
      <mc:Fallback>
        <xdr:sp macro="" textlink="">
          <xdr:nvSpPr>
            <xdr:cNvPr id="0" name=""/>
            <xdr:cNvSpPr>
              <a:spLocks noTextEdit="1"/>
            </xdr:cNvSpPr>
          </xdr:nvSpPr>
          <xdr:spPr>
            <a:xfrm>
              <a:off x="13367115" y="4266931"/>
              <a:ext cx="1879822" cy="16469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23715</xdr:colOff>
      <xdr:row>5</xdr:row>
      <xdr:rowOff>39195</xdr:rowOff>
    </xdr:from>
    <xdr:to>
      <xdr:col>28</xdr:col>
      <xdr:colOff>16220</xdr:colOff>
      <xdr:row>18</xdr:row>
      <xdr:rowOff>69503</xdr:rowOff>
    </xdr:to>
    <mc:AlternateContent xmlns:mc="http://schemas.openxmlformats.org/markup-compatibility/2006">
      <mc:Choice xmlns:a14="http://schemas.microsoft.com/office/drawing/2010/main" Requires="a14">
        <xdr:graphicFrame macro="">
          <xdr:nvGraphicFramePr>
            <xdr:cNvPr id="22" name="District">
              <a:extLst>
                <a:ext uri="{FF2B5EF4-FFF2-40B4-BE49-F238E27FC236}">
                  <a16:creationId xmlns:a16="http://schemas.microsoft.com/office/drawing/2014/main" id="{B6E71930-96F9-4EFA-A791-BC4F04D15DBB}"/>
                </a:ext>
              </a:extLst>
            </xdr:cNvPr>
            <xdr:cNvGraphicFramePr/>
          </xdr:nvGraphicFramePr>
          <xdr:xfrm>
            <a:off x="0" y="0"/>
            <a:ext cx="0" cy="0"/>
          </xdr:xfrm>
          <a:graphic>
            <a:graphicData uri="http://schemas.microsoft.com/office/drawing/2010/slicer">
              <sle:slicer xmlns:sle="http://schemas.microsoft.com/office/drawing/2010/slicer" name="District"/>
            </a:graphicData>
          </a:graphic>
        </xdr:graphicFrame>
      </mc:Choice>
      <mc:Fallback>
        <xdr:sp macro="" textlink="">
          <xdr:nvSpPr>
            <xdr:cNvPr id="0" name=""/>
            <xdr:cNvSpPr>
              <a:spLocks noTextEdit="1"/>
            </xdr:cNvSpPr>
          </xdr:nvSpPr>
          <xdr:spPr>
            <a:xfrm>
              <a:off x="15704873" y="1376037"/>
              <a:ext cx="1837347" cy="24633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574264</xdr:colOff>
      <xdr:row>20</xdr:row>
      <xdr:rowOff>96581</xdr:rowOff>
    </xdr:from>
    <xdr:to>
      <xdr:col>27</xdr:col>
      <xdr:colOff>566769</xdr:colOff>
      <xdr:row>28</xdr:row>
      <xdr:rowOff>38092</xdr:rowOff>
    </xdr:to>
    <mc:AlternateContent xmlns:mc="http://schemas.openxmlformats.org/markup-compatibility/2006">
      <mc:Choice xmlns:a14="http://schemas.microsoft.com/office/drawing/2010/main" Requires="a14">
        <xdr:graphicFrame macro="">
          <xdr:nvGraphicFramePr>
            <xdr:cNvPr id="23" name="Irrigation Type">
              <a:extLst>
                <a:ext uri="{FF2B5EF4-FFF2-40B4-BE49-F238E27FC236}">
                  <a16:creationId xmlns:a16="http://schemas.microsoft.com/office/drawing/2014/main" id="{9F76241B-189C-4196-9CDD-9351EF69F3B3}"/>
                </a:ext>
              </a:extLst>
            </xdr:cNvPr>
            <xdr:cNvGraphicFramePr/>
          </xdr:nvGraphicFramePr>
          <xdr:xfrm>
            <a:off x="0" y="0"/>
            <a:ext cx="0" cy="0"/>
          </xdr:xfrm>
          <a:graphic>
            <a:graphicData uri="http://schemas.microsoft.com/office/drawing/2010/slicer">
              <sle:slicer xmlns:sle="http://schemas.microsoft.com/office/drawing/2010/slicer" name="Irrigation Type"/>
            </a:graphicData>
          </a:graphic>
        </xdr:graphicFrame>
      </mc:Choice>
      <mc:Fallback>
        <xdr:sp macro="" textlink="">
          <xdr:nvSpPr>
            <xdr:cNvPr id="0" name=""/>
            <xdr:cNvSpPr>
              <a:spLocks noTextEdit="1"/>
            </xdr:cNvSpPr>
          </xdr:nvSpPr>
          <xdr:spPr>
            <a:xfrm>
              <a:off x="15640475" y="4240792"/>
              <a:ext cx="1837347" cy="14387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oples Marketing" refreshedDate="46052.412773958335" createdVersion="8" refreshedVersion="8" minRefreshableVersion="3" recordCount="500" xr:uid="{1540EA29-5AFF-48FD-A7E4-B4BA95ADC1E1}">
  <cacheSource type="worksheet">
    <worksheetSource ref="A1:R501" sheet="Agricultural_Crop_Yield "/>
  </cacheSource>
  <cacheFields count="18">
    <cacheField name="Crop ID" numFmtId="0">
      <sharedItems/>
    </cacheField>
    <cacheField name="Date" numFmtId="14">
      <sharedItems containsSemiMixedTypes="0" containsNonDate="0" containsDate="1" containsString="0" minDate="2010-04-03T00:00:00" maxDate="2023-03-16T00:00:00"/>
    </cacheField>
    <cacheField name="Year" numFmtId="0">
      <sharedItems containsSemiMixedTypes="0" containsString="0" containsNumber="1" containsInteger="1" minValue="2010" maxValue="2022"/>
    </cacheField>
    <cacheField name="State" numFmtId="49">
      <sharedItems count="7">
        <s v="Uttar Pradesh"/>
        <s v="Punjab"/>
        <s v="Maharashtra"/>
        <s v="Karnataka"/>
        <s v="West Bengal"/>
        <s v="Bihar"/>
        <s v="Haryana"/>
      </sharedItems>
    </cacheField>
    <cacheField name="District" numFmtId="49">
      <sharedItems count="21">
        <s v="Lucknow"/>
        <s v="Ludhiana"/>
        <s v="Pune"/>
        <s v="Bangalore"/>
        <s v="Kolkata"/>
        <s v="Mysore"/>
        <s v="Varanasi"/>
        <s v="Patna"/>
        <s v="Gaya"/>
        <s v="Darjeeling"/>
        <s v="Patiala"/>
        <s v="Kanpur"/>
        <s v="Hubli"/>
        <s v="Nagpur"/>
        <s v="Amritsar"/>
        <s v="Bhagalpur"/>
        <s v="Howrah"/>
        <s v="Gurgaon"/>
        <s v="Faridabad"/>
        <s v="Mumbai"/>
        <s v="Hisar"/>
      </sharedItems>
    </cacheField>
    <cacheField name="Season" numFmtId="49">
      <sharedItems/>
    </cacheField>
    <cacheField name="Crop Name" numFmtId="0">
      <sharedItems count="6">
        <s v="Maize"/>
        <s v="Pulses"/>
        <s v="Cotton"/>
        <s v="Sugarcane"/>
        <s v="Rice"/>
        <s v="Wheat"/>
      </sharedItems>
    </cacheField>
    <cacheField name="Area (Hectares)" numFmtId="2">
      <sharedItems containsSemiMixedTypes="0" containsString="0" containsNumber="1" minValue="1.02" maxValue="99.72"/>
    </cacheField>
    <cacheField name="Production (Tonnes)" numFmtId="2">
      <sharedItems containsSemiMixedTypes="0" containsString="0" containsNumber="1" minValue="1.58" maxValue="668.98"/>
    </cacheField>
    <cacheField name="Yield (Kg/Ha)" numFmtId="2">
      <sharedItems containsSemiMixedTypes="0" containsString="0" containsNumber="1" minValue="1015.41" maxValue="6990.6"/>
    </cacheField>
    <cacheField name="Irrigation Type" numFmtId="14">
      <sharedItems count="4">
        <s v="Canal"/>
        <s v="Drip"/>
        <s v="Rainfed"/>
        <s v="Borewell"/>
      </sharedItems>
    </cacheField>
    <cacheField name="Fertilizer Type" numFmtId="49">
      <sharedItems count="5">
        <s v="Urea"/>
        <s v="Compost"/>
        <s v="DAP"/>
        <s v="Vermicompost"/>
        <s v="NPK"/>
      </sharedItems>
    </cacheField>
    <cacheField name="Fertilizer Used (Kg)" numFmtId="2">
      <sharedItems containsSemiMixedTypes="0" containsString="0" containsNumber="1" minValue="51.64" maxValue="299.98"/>
    </cacheField>
    <cacheField name="Rainfall (mm)" numFmtId="2">
      <sharedItems containsSemiMixedTypes="0" containsString="0" containsNumber="1" minValue="201.46" maxValue="1198.45" count="499">
        <n v="1092.18"/>
        <n v="789.27"/>
        <n v="803.73"/>
        <n v="245.82"/>
        <n v="870.18"/>
        <n v="1042.8499999999999"/>
        <n v="1114.55"/>
        <n v="1197.33"/>
        <n v="795.89"/>
        <n v="634.77"/>
        <n v="962.51"/>
        <n v="440.87"/>
        <n v="1072.43"/>
        <n v="717.58"/>
        <n v="1105.42"/>
        <n v="672.97"/>
        <n v="928.21"/>
        <n v="1061.3499999999999"/>
        <n v="202.16"/>
        <n v="258.48"/>
        <n v="268.52"/>
        <n v="404.26"/>
        <n v="1198.45"/>
        <n v="1187.23"/>
        <n v="804.83"/>
        <n v="330.82"/>
        <n v="1034.5999999999999"/>
        <n v="759.88"/>
        <n v="611.71"/>
        <n v="1071.32"/>
        <n v="315.33999999999997"/>
        <n v="776.59"/>
        <n v="864.24"/>
        <n v="391.84"/>
        <n v="642.16"/>
        <n v="424.64"/>
        <n v="583.98"/>
        <n v="321.36"/>
        <n v="747.87"/>
        <n v="485.73"/>
        <n v="742.61"/>
        <n v="589.99"/>
        <n v="1040.51"/>
        <n v="460.16"/>
        <n v="549.96"/>
        <n v="417.96"/>
        <n v="775.8"/>
        <n v="765.93"/>
        <n v="562.19000000000005"/>
        <n v="1025.73"/>
        <n v="525.01"/>
        <n v="606.42999999999995"/>
        <n v="730.92"/>
        <n v="942.88"/>
        <n v="560.88"/>
        <n v="212.27"/>
        <n v="886.45"/>
        <n v="580.38"/>
        <n v="464.65"/>
        <n v="906.96"/>
        <n v="1026.6300000000001"/>
        <n v="700.47"/>
        <n v="872.28"/>
        <n v="670.01"/>
        <n v="514.52"/>
        <n v="698.49"/>
        <n v="510.75"/>
        <n v="473.42"/>
        <n v="990.01"/>
        <n v="646.54999999999995"/>
        <n v="944.71"/>
        <n v="1110.44"/>
        <n v="1052.3399999999999"/>
        <n v="946.77"/>
        <n v="630.69000000000005"/>
        <n v="837.9"/>
        <n v="624.30999999999995"/>
        <n v="1030.04"/>
        <n v="877.76"/>
        <n v="615.5"/>
        <n v="538.72"/>
        <n v="594.57000000000005"/>
        <n v="433.82"/>
        <n v="316.68"/>
        <n v="926.6"/>
        <n v="299.35000000000002"/>
        <n v="533.51"/>
        <n v="795.98"/>
        <n v="988.43"/>
        <n v="713.24"/>
        <n v="678.98"/>
        <n v="785.36"/>
        <n v="1088.0899999999999"/>
        <n v="674.27"/>
        <n v="610.80999999999995"/>
        <n v="308.22000000000003"/>
        <n v="473.27"/>
        <n v="730.48"/>
        <n v="817.84"/>
        <n v="878.22"/>
        <n v="489.45"/>
        <n v="1061.76"/>
        <n v="220.86"/>
        <n v="945.8"/>
        <n v="1018.95"/>
        <n v="763.74"/>
        <n v="791.42"/>
        <n v="707.07"/>
        <n v="1010.97"/>
        <n v="1117.94"/>
        <n v="923.73"/>
        <n v="908.83"/>
        <n v="623.41"/>
        <n v="988.12"/>
        <n v="971.1"/>
        <n v="439.17"/>
        <n v="1016.89"/>
        <n v="963.12"/>
        <n v="702.01"/>
        <n v="1117.4000000000001"/>
        <n v="488.1"/>
        <n v="775.05"/>
        <n v="726.06"/>
        <n v="267.56"/>
        <n v="884.68"/>
        <n v="510.08"/>
        <n v="531.91999999999996"/>
        <n v="927.08"/>
        <n v="643.91"/>
        <n v="342.78"/>
        <n v="879.06"/>
        <n v="386.05"/>
        <n v="335.73"/>
        <n v="1051.3599999999999"/>
        <n v="1183.01"/>
        <n v="517.03"/>
        <n v="1110.71"/>
        <n v="450.61"/>
        <n v="920.63"/>
        <n v="616.59"/>
        <n v="615.62"/>
        <n v="306.18"/>
        <n v="1065.31"/>
        <n v="593.24"/>
        <n v="208.18"/>
        <n v="273.52999999999997"/>
        <n v="539.09"/>
        <n v="348.94"/>
        <n v="499.79"/>
        <n v="982.9"/>
        <n v="880.73"/>
        <n v="811.48"/>
        <n v="733.13"/>
        <n v="904.9"/>
        <n v="1154.6099999999999"/>
        <n v="896.17"/>
        <n v="672.4"/>
        <n v="259.16000000000003"/>
        <n v="596.99"/>
        <n v="743.3"/>
        <n v="214.08"/>
        <n v="340.61"/>
        <n v="559.54999999999995"/>
        <n v="838.71"/>
        <n v="1001.99"/>
        <n v="349.85"/>
        <n v="713.25"/>
        <n v="245.29"/>
        <n v="1091.33"/>
        <n v="593.05999999999995"/>
        <n v="447.51"/>
        <n v="872.02"/>
        <n v="931.52"/>
        <n v="627.20000000000005"/>
        <n v="673.52"/>
        <n v="455"/>
        <n v="802.92"/>
        <n v="215.33"/>
        <n v="580.66"/>
        <n v="570.70000000000005"/>
        <n v="579.84"/>
        <n v="920.31"/>
        <n v="1042.54"/>
        <n v="215.73"/>
        <n v="1109.77"/>
        <n v="1159.3"/>
        <n v="676.01"/>
        <n v="1101.27"/>
        <n v="407.16"/>
        <n v="939.75"/>
        <n v="526.38"/>
        <n v="818.62"/>
        <n v="1142.96"/>
        <n v="553.91"/>
        <n v="369.58"/>
        <n v="561.12"/>
        <n v="579.89"/>
        <n v="491.45"/>
        <n v="750.1"/>
        <n v="858.66"/>
        <n v="990.72"/>
        <n v="845.03"/>
        <n v="591.13"/>
        <n v="543.07000000000005"/>
        <n v="543.08000000000004"/>
        <n v="829.76"/>
        <n v="952.33"/>
        <n v="811.31"/>
        <n v="438.57"/>
        <n v="893.43"/>
        <n v="395.13"/>
        <n v="995.88"/>
        <n v="467.89"/>
        <n v="853.67"/>
        <n v="810.26"/>
        <n v="904.05"/>
        <n v="522.1"/>
        <n v="949.8"/>
        <n v="995.68"/>
        <n v="1094.1500000000001"/>
        <n v="501.87"/>
        <n v="291.2"/>
        <n v="1188.1500000000001"/>
        <n v="973.46"/>
        <n v="351.37"/>
        <n v="339.83"/>
        <n v="806.93"/>
        <n v="1177.7"/>
        <n v="267.52999999999997"/>
        <n v="736.56"/>
        <n v="637.49"/>
        <n v="907.9"/>
        <n v="318.06"/>
        <n v="1059.3599999999999"/>
        <n v="671.76"/>
        <n v="277.89"/>
        <n v="973.53"/>
        <n v="791.69"/>
        <n v="201.46"/>
        <n v="293.02999999999997"/>
        <n v="767.82"/>
        <n v="274.69"/>
        <n v="407.64"/>
        <n v="911.16"/>
        <n v="1003.9"/>
        <n v="274.99"/>
        <n v="595"/>
        <n v="698.89"/>
        <n v="981.92"/>
        <n v="1010.69"/>
        <n v="1147.8"/>
        <n v="228.21"/>
        <n v="801.66"/>
        <n v="347.71"/>
        <n v="357.5"/>
        <n v="933.99"/>
        <n v="304.11"/>
        <n v="465.21"/>
        <n v="693.08"/>
        <n v="1045.76"/>
        <n v="1185.28"/>
        <n v="922.04"/>
        <n v="627.61"/>
        <n v="597.47"/>
        <n v="639.74"/>
        <n v="789.73"/>
        <n v="1053.94"/>
        <n v="326.19"/>
        <n v="756.36"/>
        <n v="348.2"/>
        <n v="854.79"/>
        <n v="531.49"/>
        <n v="427.96"/>
        <n v="959.49"/>
        <n v="1075.18"/>
        <n v="323.87"/>
        <n v="888.85"/>
        <n v="713.28"/>
        <n v="576.48"/>
        <n v="793.77"/>
        <n v="717.29"/>
        <n v="618.57000000000005"/>
        <n v="871.87"/>
        <n v="1099.5899999999999"/>
        <n v="834.4"/>
        <n v="400.3"/>
        <n v="258.01"/>
        <n v="677.4"/>
        <n v="1076.99"/>
        <n v="886.78"/>
        <n v="221.91"/>
        <n v="219.74"/>
        <n v="861.66"/>
        <n v="809"/>
        <n v="202.74"/>
        <n v="656.75"/>
        <n v="958.2"/>
        <n v="600.78"/>
        <n v="1111.23"/>
        <n v="688.12"/>
        <n v="869.84"/>
        <n v="1026.44"/>
        <n v="250.35"/>
        <n v="318.70999999999998"/>
        <n v="762.33"/>
        <n v="314.02"/>
        <n v="942.51"/>
        <n v="614.47"/>
        <n v="682.93"/>
        <n v="584.66"/>
        <n v="747.81"/>
        <n v="850.09"/>
        <n v="1093.8699999999999"/>
        <n v="360.94"/>
        <n v="761.27"/>
        <n v="253.8"/>
        <n v="1164.29"/>
        <n v="783.99"/>
        <n v="772.68"/>
        <n v="421.2"/>
        <n v="546.01"/>
        <n v="923.98"/>
        <n v="1148.21"/>
        <n v="405.58"/>
        <n v="774.96"/>
        <n v="818.35"/>
        <n v="1022.12"/>
        <n v="211.15"/>
        <n v="1105.6300000000001"/>
        <n v="1132.3699999999999"/>
        <n v="871.3"/>
        <n v="564.49"/>
        <n v="932.97"/>
        <n v="396.43"/>
        <n v="743.47"/>
        <n v="702.17"/>
        <n v="683.5"/>
        <n v="1117.9000000000001"/>
        <n v="578.52"/>
        <n v="1087.17"/>
        <n v="917.3"/>
        <n v="243.14"/>
        <n v="763.6"/>
        <n v="1020.45"/>
        <n v="308.57"/>
        <n v="731.43"/>
        <n v="628.96"/>
        <n v="1110.0899999999999"/>
        <n v="575.03"/>
        <n v="811.88"/>
        <n v="974.19"/>
        <n v="1164.57"/>
        <n v="1130.68"/>
        <n v="983.96"/>
        <n v="979.67"/>
        <n v="759.11"/>
        <n v="758.63"/>
        <n v="957.47"/>
        <n v="429.93"/>
        <n v="1131.4000000000001"/>
        <n v="406.78"/>
        <n v="964.24"/>
        <n v="950.17"/>
        <n v="320.37"/>
        <n v="462.85"/>
        <n v="379.89"/>
        <n v="938.54"/>
        <n v="1058.5"/>
        <n v="760.35"/>
        <n v="484.61"/>
        <n v="1128.57"/>
        <n v="805.38"/>
        <n v="862.02"/>
        <n v="818.1"/>
        <n v="863.55"/>
        <n v="835.85"/>
        <n v="210.56"/>
        <n v="965.87"/>
        <n v="420.59"/>
        <n v="1053.48"/>
        <n v="734.97"/>
        <n v="620.24"/>
        <n v="1095.7"/>
        <n v="971"/>
        <n v="838.52"/>
        <n v="443.09"/>
        <n v="1196.97"/>
        <n v="638.72"/>
        <n v="386.63"/>
        <n v="654.08000000000004"/>
        <n v="883.22"/>
        <n v="231.27"/>
        <n v="420.72"/>
        <n v="994.25"/>
        <n v="431.02"/>
        <n v="902.55"/>
        <n v="1102.48"/>
        <n v="750.24"/>
        <n v="1184.3900000000001"/>
        <n v="464.99"/>
        <n v="1025.71"/>
        <n v="1017.14"/>
        <n v="519.32000000000005"/>
        <n v="489.78"/>
        <n v="330.38"/>
        <n v="466.26"/>
        <n v="369.26"/>
        <n v="254.54"/>
        <n v="411.88"/>
        <n v="260.11"/>
        <n v="219.08"/>
        <n v="912.47"/>
        <n v="436.2"/>
        <n v="582.21"/>
        <n v="338.58"/>
        <n v="764.84"/>
        <n v="503.35"/>
        <n v="430.91"/>
        <n v="337.51"/>
        <n v="1154.7"/>
        <n v="594.15"/>
        <n v="239.25"/>
        <n v="1103.68"/>
        <n v="523.46"/>
        <n v="323.54000000000002"/>
        <n v="370.88"/>
        <n v="380.7"/>
        <n v="693.47"/>
        <n v="757.55"/>
        <n v="287.7"/>
        <n v="949.33"/>
        <n v="894.62"/>
        <n v="888.65"/>
        <n v="831.86"/>
        <n v="407.33"/>
        <n v="267.83999999999997"/>
        <n v="394.02"/>
        <n v="1014.17"/>
        <n v="1088.03"/>
        <n v="316.83999999999997"/>
        <n v="502.32"/>
        <n v="932.44"/>
        <n v="722.34"/>
        <n v="958.49"/>
        <n v="1158.3"/>
        <n v="511.38"/>
        <n v="796.12"/>
        <n v="955.74"/>
        <n v="343.72"/>
        <n v="678.65"/>
        <n v="270.92"/>
        <n v="1013.92"/>
        <n v="796.08"/>
        <n v="844.99"/>
        <n v="777.93"/>
        <n v="811.49"/>
        <n v="482.21"/>
        <n v="388.23"/>
        <n v="686.7"/>
        <n v="654.39"/>
        <n v="469.25"/>
        <n v="931.29"/>
        <n v="739.2"/>
        <n v="1160.58"/>
        <n v="856.32"/>
        <n v="480.97"/>
        <n v="640.19000000000005"/>
        <n v="1148.25"/>
        <n v="1161.76"/>
        <n v="784.18"/>
        <n v="210.58"/>
        <n v="223.7"/>
        <n v="1099.9000000000001"/>
        <n v="476.38"/>
        <n v="464.66"/>
        <n v="306.25"/>
        <n v="840.34"/>
        <n v="603.91"/>
        <n v="832.27"/>
        <n v="498.87"/>
        <n v="262.99"/>
        <n v="411.68"/>
        <n v="1118.02"/>
        <n v="306.33"/>
        <n v="1164.69"/>
        <n v="1125.68"/>
        <n v="1007.41"/>
        <n v="917.2"/>
        <n v="1062.73"/>
        <n v="359.76"/>
        <n v="252.46"/>
        <n v="876.85"/>
        <n v="785.09"/>
        <n v="402.21"/>
        <n v="803.64"/>
        <n v="479.17"/>
        <n v="244.22"/>
        <n v="953.08"/>
        <n v="947.29"/>
      </sharedItems>
    </cacheField>
    <cacheField name="Soil Type" numFmtId="49">
      <sharedItems/>
    </cacheField>
    <cacheField name="Temperature (Celsius)" numFmtId="2">
      <sharedItems containsSemiMixedTypes="0" containsString="0" containsNumber="1" minValue="20.02" maxValue="34.979999999999997" count="441">
        <n v="28.86"/>
        <n v="31.38"/>
        <n v="30.95"/>
        <n v="31.6"/>
        <n v="29.14"/>
        <n v="23.44"/>
        <n v="22.14"/>
        <n v="27.64"/>
        <n v="27.94"/>
        <n v="20.05"/>
        <n v="34.299999999999997"/>
        <n v="34.200000000000003"/>
        <n v="34.47"/>
        <n v="23.72"/>
        <n v="21.06"/>
        <n v="22.86"/>
        <n v="23.73"/>
        <n v="21.47"/>
        <n v="23.98"/>
        <n v="20.91"/>
        <n v="30.13"/>
        <n v="23.58"/>
        <n v="21.1"/>
        <n v="20.12"/>
        <n v="23.05"/>
        <n v="22.42"/>
        <n v="28.29"/>
        <n v="34.61"/>
        <n v="24"/>
        <n v="20.350000000000001"/>
        <n v="22.68"/>
        <n v="20.67"/>
        <n v="29.35"/>
        <n v="30.16"/>
        <n v="27.67"/>
        <n v="22.21"/>
        <n v="23.66"/>
        <n v="32.020000000000003"/>
        <n v="31.15"/>
        <n v="25.04"/>
        <n v="20.93"/>
        <n v="28.07"/>
        <n v="34.71"/>
        <n v="23.17"/>
        <n v="31.72"/>
        <n v="31.5"/>
        <n v="25.95"/>
        <n v="25.21"/>
        <n v="30.61"/>
        <n v="24.03"/>
        <n v="23.18"/>
        <n v="31.37"/>
        <n v="34.950000000000003"/>
        <n v="22.87"/>
        <n v="20.21"/>
        <n v="27.04"/>
        <n v="22.24"/>
        <n v="24.46"/>
        <n v="22.36"/>
        <n v="21.07"/>
        <n v="20.89"/>
        <n v="26.57"/>
        <n v="28.64"/>
        <n v="25"/>
        <n v="21.74"/>
        <n v="31.4"/>
        <n v="28.28"/>
        <n v="34.700000000000003"/>
        <n v="25.1"/>
        <n v="25.18"/>
        <n v="25.79"/>
        <n v="30.84"/>
        <n v="25.7"/>
        <n v="34.68"/>
        <n v="27.97"/>
        <n v="23.83"/>
        <n v="26.85"/>
        <n v="24.12"/>
        <n v="29.42"/>
        <n v="21.98"/>
        <n v="27.02"/>
        <n v="28.05"/>
        <n v="29.29"/>
        <n v="34.19"/>
        <n v="29.82"/>
        <n v="28.17"/>
        <n v="31.8"/>
        <n v="32.880000000000003"/>
        <n v="24.86"/>
        <n v="26.78"/>
        <n v="26.39"/>
        <n v="25.71"/>
        <n v="25.08"/>
        <n v="32.479999999999997"/>
        <n v="33.020000000000003"/>
        <n v="25.51"/>
        <n v="33.82"/>
        <n v="26.3"/>
        <n v="24.08"/>
        <n v="27.3"/>
        <n v="26.54"/>
        <n v="22.58"/>
        <n v="23.54"/>
        <n v="26.73"/>
        <n v="27.61"/>
        <n v="28.7"/>
        <n v="34.74"/>
        <n v="26.13"/>
        <n v="33.1"/>
        <n v="24.64"/>
        <n v="20.27"/>
        <n v="31.56"/>
        <n v="30.82"/>
        <n v="33.56"/>
        <n v="22.08"/>
        <n v="26.74"/>
        <n v="30.44"/>
        <n v="21.83"/>
        <n v="24.37"/>
        <n v="30.99"/>
        <n v="29.48"/>
        <n v="34.840000000000003"/>
        <n v="31.99"/>
        <n v="26.46"/>
        <n v="20.64"/>
        <n v="30.17"/>
        <n v="25.58"/>
        <n v="25.8"/>
        <n v="31.91"/>
        <n v="29.18"/>
        <n v="26.75"/>
        <n v="32.47"/>
        <n v="25.06"/>
        <n v="27.47"/>
        <n v="23.06"/>
        <n v="27"/>
        <n v="32.200000000000003"/>
        <n v="34.5"/>
        <n v="26.76"/>
        <n v="31.32"/>
        <n v="22.1"/>
        <n v="25.53"/>
        <n v="28.66"/>
        <n v="28.59"/>
        <n v="33.090000000000003"/>
        <n v="25.31"/>
        <n v="24.76"/>
        <n v="24.36"/>
        <n v="21.64"/>
        <n v="20.079999999999998"/>
        <n v="29.78"/>
        <n v="22.79"/>
        <n v="33.340000000000003"/>
        <n v="31.86"/>
        <n v="34.04"/>
        <n v="31.43"/>
        <n v="32.82"/>
        <n v="28.46"/>
        <n v="30.51"/>
        <n v="33.04"/>
        <n v="30.92"/>
        <n v="22.33"/>
        <n v="23.67"/>
        <n v="20.7"/>
        <n v="24.51"/>
        <n v="29.7"/>
        <n v="22.82"/>
        <n v="34.43"/>
        <n v="29.73"/>
        <n v="20.69"/>
        <n v="27.49"/>
        <n v="22.76"/>
        <n v="21.02"/>
        <n v="28.27"/>
        <n v="33.770000000000003"/>
        <n v="28.48"/>
        <n v="30.54"/>
        <n v="27.13"/>
        <n v="31.28"/>
        <n v="27.51"/>
        <n v="31.75"/>
        <n v="30.7"/>
        <n v="25.4"/>
        <n v="28.95"/>
        <n v="22.54"/>
        <n v="30.81"/>
        <n v="26.6"/>
        <n v="34.520000000000003"/>
        <n v="34.14"/>
        <n v="31.84"/>
        <n v="30.52"/>
        <n v="30.36"/>
        <n v="27.82"/>
        <n v="29.61"/>
        <n v="21.71"/>
        <n v="22.75"/>
        <n v="28.32"/>
        <n v="34.46"/>
        <n v="24.38"/>
        <n v="32.35"/>
        <n v="24.47"/>
        <n v="22.49"/>
        <n v="31.42"/>
        <n v="26.82"/>
        <n v="23.27"/>
        <n v="21.4"/>
        <n v="20.02"/>
        <n v="30.41"/>
        <n v="29.62"/>
        <n v="29.24"/>
        <n v="29.67"/>
        <n v="31.22"/>
        <n v="34.01"/>
        <n v="23.24"/>
        <n v="22.29"/>
        <n v="20.87"/>
        <n v="22.46"/>
        <n v="25.03"/>
        <n v="25.52"/>
        <n v="33.799999999999997"/>
        <n v="21.79"/>
        <n v="24.91"/>
        <n v="34.97"/>
        <n v="32.74"/>
        <n v="33.46"/>
        <n v="29.94"/>
        <n v="22.04"/>
        <n v="26.95"/>
        <n v="25.94"/>
        <n v="21.82"/>
        <n v="22.97"/>
        <n v="25.74"/>
        <n v="27.19"/>
        <n v="27.2"/>
        <n v="20.88"/>
        <n v="32.700000000000003"/>
        <n v="34.21"/>
        <n v="27.9"/>
        <n v="31.62"/>
        <n v="31.88"/>
        <n v="21.91"/>
        <n v="22.11"/>
        <n v="30.4"/>
        <n v="25.27"/>
        <n v="20.3"/>
        <n v="30.57"/>
        <n v="32.36"/>
        <n v="33.42"/>
        <n v="23.39"/>
        <n v="27.53"/>
        <n v="21.18"/>
        <n v="24.89"/>
        <n v="28.74"/>
        <n v="29.13"/>
        <n v="20.74"/>
        <n v="32.32"/>
        <n v="32.549999999999997"/>
        <n v="23.63"/>
        <n v="20.41"/>
        <n v="27.11"/>
        <n v="26.88"/>
        <n v="24.48"/>
        <n v="33.5"/>
        <n v="31.05"/>
        <n v="24.5"/>
        <n v="23.33"/>
        <n v="34.159999999999997"/>
        <n v="34.81"/>
        <n v="24.1"/>
        <n v="20.57"/>
        <n v="21.93"/>
        <n v="25.14"/>
        <n v="22.53"/>
        <n v="26.25"/>
        <n v="24.05"/>
        <n v="33.6"/>
        <n v="23.96"/>
        <n v="20.149999999999999"/>
        <n v="32.03"/>
        <n v="26.61"/>
        <n v="27.79"/>
        <n v="20.82"/>
        <n v="28.26"/>
        <n v="31.18"/>
        <n v="34.26"/>
        <n v="20.03"/>
        <n v="21.6"/>
        <n v="21.85"/>
        <n v="33.74"/>
        <n v="30.68"/>
        <n v="27.56"/>
        <n v="24.29"/>
        <n v="30.25"/>
        <n v="27.66"/>
        <n v="21.09"/>
        <n v="29.95"/>
        <n v="33.57"/>
        <n v="33.67"/>
        <n v="34.57"/>
        <n v="33.659999999999997"/>
        <n v="20.68"/>
        <n v="22.12"/>
        <n v="26.92"/>
        <n v="21.5"/>
        <n v="34.380000000000003"/>
        <n v="26.94"/>
        <n v="30.91"/>
        <n v="27.08"/>
        <n v="32.72"/>
        <n v="20.61"/>
        <n v="20.6"/>
        <n v="29.8"/>
        <n v="29.92"/>
        <n v="28.89"/>
        <n v="33.18"/>
        <n v="27.84"/>
        <n v="24.25"/>
        <n v="30.32"/>
        <n v="31.04"/>
        <n v="32.07"/>
        <n v="29.21"/>
        <n v="27.74"/>
        <n v="30.04"/>
        <n v="25.22"/>
        <n v="24.41"/>
        <n v="30.22"/>
        <n v="26.19"/>
        <n v="24.71"/>
        <n v="32.520000000000003"/>
        <n v="34.369999999999997"/>
        <n v="20.81"/>
        <n v="26.9"/>
        <n v="27.07"/>
        <n v="34.69"/>
        <n v="32.090000000000003"/>
        <n v="25.98"/>
        <n v="25.16"/>
        <n v="30.1"/>
        <n v="29.47"/>
        <n v="24.07"/>
        <n v="23.16"/>
        <n v="32.96"/>
        <n v="26.52"/>
        <n v="32.229999999999997"/>
        <n v="28.96"/>
        <n v="26.33"/>
        <n v="22.05"/>
        <n v="34.58"/>
        <n v="32.26"/>
        <n v="29.99"/>
        <n v="25.41"/>
        <n v="28.72"/>
        <n v="20.9"/>
        <n v="20.32"/>
        <n v="25.69"/>
        <n v="22.31"/>
        <n v="27.28"/>
        <n v="20.2"/>
        <n v="22.84"/>
        <n v="33.24"/>
        <n v="34.869999999999997"/>
        <n v="32.840000000000003"/>
        <n v="23.75"/>
        <n v="32.29"/>
        <n v="33.950000000000003"/>
        <n v="22.22"/>
        <n v="27.21"/>
        <n v="24.85"/>
        <n v="33.9"/>
        <n v="27.85"/>
        <n v="23.47"/>
        <n v="23.71"/>
        <n v="24.14"/>
        <n v="30.26"/>
        <n v="22.28"/>
        <n v="25.39"/>
        <n v="33.01"/>
        <n v="28.91"/>
        <n v="32.450000000000003"/>
        <n v="30.59"/>
        <n v="34.409999999999997"/>
        <n v="28.83"/>
        <n v="20.73"/>
        <n v="33.97"/>
        <n v="24.94"/>
        <n v="26.41"/>
        <n v="32.119999999999997"/>
        <n v="34.979999999999997"/>
        <n v="27.6"/>
        <n v="33.83"/>
        <n v="32.53"/>
        <n v="20.99"/>
        <n v="30.58"/>
        <n v="25.61"/>
        <n v="24.66"/>
        <n v="24.81"/>
        <n v="27.71"/>
        <n v="28.11"/>
        <n v="29.44"/>
        <n v="28.52"/>
        <n v="23.87"/>
        <n v="24.23"/>
        <n v="27.99"/>
        <n v="26.47"/>
        <n v="28.33"/>
        <n v="21.36"/>
        <n v="23.08"/>
        <n v="26.06"/>
        <n v="23.53"/>
        <n v="32.65"/>
        <n v="34.619999999999997"/>
        <n v="28.65"/>
        <n v="26.97"/>
        <n v="24.69"/>
        <n v="24.34"/>
        <n v="32.130000000000003"/>
        <n v="23.5"/>
        <n v="21.46"/>
        <n v="20.85"/>
        <n v="32.049999999999997"/>
        <n v="30.38"/>
        <n v="21.04"/>
        <n v="30.73"/>
        <n v="29.97"/>
        <n v="28.1"/>
        <n v="25.48"/>
        <n v="33.450000000000003"/>
        <n v="29.65"/>
        <n v="23.64"/>
        <n v="28.92"/>
        <n v="31.46"/>
        <n v="22"/>
        <n v="30.39"/>
        <n v="34.25"/>
        <n v="22.64"/>
        <n v="23.45"/>
        <n v="33.36"/>
        <n v="20.48"/>
        <n v="33.58"/>
        <n v="31"/>
        <n v="34.65"/>
      </sharedItems>
    </cacheField>
    <cacheField name="Year-Month" numFmtId="0">
      <sharedItems count="145">
        <s v="2010-04"/>
        <s v="2013-04"/>
        <s v="2012-10"/>
        <s v="2018-11"/>
        <s v="2016-12"/>
        <s v="2012-11"/>
        <s v="2011-07"/>
        <s v="2012-05"/>
        <s v="2011-05"/>
        <s v="2018-10"/>
        <s v="2017-06"/>
        <s v="2022-05"/>
        <s v="2021-06"/>
        <s v="2018-07"/>
        <s v="2016-10"/>
        <s v="2013-02"/>
        <s v="2021-04"/>
        <s v="2017-04"/>
        <s v="2014-12"/>
        <s v="2015-10"/>
        <s v="2013-01"/>
        <s v="2010-09"/>
        <s v="2018-09"/>
        <s v="2015-07"/>
        <s v="2022-06"/>
        <s v="2017-07"/>
        <s v="2012-01"/>
        <s v="2017-02"/>
        <s v="2020-05"/>
        <s v="2018-12"/>
        <s v="2016-05"/>
        <s v="2014-04"/>
        <s v="2013-10"/>
        <s v="2023-03"/>
        <s v="2021-03"/>
        <s v="2014-02"/>
        <s v="2021-10"/>
        <s v="2014-03"/>
        <s v="2019-04"/>
        <s v="2014-11"/>
        <s v="2021-07"/>
        <s v="2020-09"/>
        <s v="2021-02"/>
        <s v="2021-01"/>
        <s v="2014-01"/>
        <s v="2022-03"/>
        <s v="2012-03"/>
        <s v="2018-03"/>
        <s v="2015-03"/>
        <s v="2019-07"/>
        <s v="2010-12"/>
        <s v="2019-05"/>
        <s v="2019-11"/>
        <s v="2019-12"/>
        <s v="2017-11"/>
        <s v="2022-02"/>
        <s v="2020-04"/>
        <s v="2017-08"/>
        <s v="2014-05"/>
        <s v="2018-04"/>
        <s v="2023-01"/>
        <s v="2010-05"/>
        <s v="2011-04"/>
        <s v="2018-08"/>
        <s v="2011-10"/>
        <s v="2014-06"/>
        <s v="2020-08"/>
        <s v="2013-05"/>
        <s v="2014-08"/>
        <s v="2013-07"/>
        <s v="2022-07"/>
        <s v="2021-12"/>
        <s v="2022-04"/>
        <s v="2011-11"/>
        <s v="2021-11"/>
        <s v="2015-08"/>
        <s v="2017-01"/>
        <s v="2019-09"/>
        <s v="2020-02"/>
        <s v="2019-10"/>
        <s v="2010-11"/>
        <s v="2020-06"/>
        <s v="2010-08"/>
        <s v="2018-01"/>
        <s v="2015-05"/>
        <s v="2011-06"/>
        <s v="2020-03"/>
        <s v="2012-07"/>
        <s v="2011-03"/>
        <s v="2011-08"/>
        <s v="2019-03"/>
        <s v="2021-05"/>
        <s v="2018-05"/>
        <s v="2015-04"/>
        <s v="2011-01"/>
        <s v="2019-01"/>
        <s v="2015-01"/>
        <s v="2017-12"/>
        <s v="2020-11"/>
        <s v="2016-04"/>
        <s v="2011-02"/>
        <s v="2012-04"/>
        <s v="2013-09"/>
        <s v="2017-09"/>
        <s v="2011-12"/>
        <s v="2016-03"/>
        <s v="2022-10"/>
        <s v="2016-02"/>
        <s v="2018-02"/>
        <s v="2012-08"/>
        <s v="2016-11"/>
        <s v="2013-06"/>
        <s v="2013-12"/>
        <s v="2012-12"/>
        <s v="2011-09"/>
        <s v="2022-11"/>
        <s v="2021-09"/>
        <s v="2013-08"/>
        <s v="2016-08"/>
        <s v="2012-09"/>
        <s v="2015-11"/>
        <s v="2017-05"/>
        <s v="2014-10"/>
        <s v="2016-09"/>
        <s v="2023-02"/>
        <s v="2022-08"/>
        <s v="2010-07"/>
        <s v="2013-11"/>
        <s v="2016-07"/>
        <s v="2015-02"/>
        <s v="2019-02"/>
        <s v="2017-10"/>
        <s v="2018-06"/>
        <s v="2014-09"/>
        <s v="2015-06"/>
        <s v="2021-08"/>
        <s v="2016-01"/>
        <s v="2015-12"/>
        <s v="2020-07"/>
        <s v="2019-08"/>
        <s v="2022-09"/>
        <s v="2019-06"/>
        <s v="2014-07"/>
        <s v="2010-10"/>
        <s v="2013-03"/>
      </sharedItems>
    </cacheField>
    <cacheField name="Yield per Acre" numFmtId="2">
      <sharedItems containsSemiMixedTypes="0" containsString="0" containsNumber="1" minValue="13.658999192897497" maxValue="3813.945454545455"/>
    </cacheField>
  </cacheFields>
  <extLst>
    <ext xmlns:x14="http://schemas.microsoft.com/office/spreadsheetml/2009/9/main" uri="{725AE2AE-9491-48be-B2B4-4EB974FC3084}">
      <x14:pivotCacheDefinition pivotCacheId="164352560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oples Marketing" refreshedDate="46052.458942592595" createdVersion="8" refreshedVersion="8" minRefreshableVersion="3" recordCount="501" xr:uid="{670AC729-27B2-45C7-A655-CA1D719DD6F4}">
  <cacheSource type="worksheet">
    <worksheetSource ref="A1:S1048576" sheet="Agricultural_Crop_Yield "/>
  </cacheSource>
  <cacheFields count="19">
    <cacheField name="Crop ID" numFmtId="0">
      <sharedItems containsBlank="1"/>
    </cacheField>
    <cacheField name="Date" numFmtId="14">
      <sharedItems containsNonDate="0" containsDate="1" containsString="0" containsBlank="1" minDate="2010-04-03T00:00:00" maxDate="2023-03-16T00:00:00"/>
    </cacheField>
    <cacheField name="Year" numFmtId="0">
      <sharedItems containsString="0" containsBlank="1" containsNumber="1" containsInteger="1" minValue="2010" maxValue="2022"/>
    </cacheField>
    <cacheField name="State" numFmtId="49">
      <sharedItems containsBlank="1" count="8">
        <s v="Uttar Pradesh"/>
        <s v="Punjab"/>
        <s v="Maharashtra"/>
        <s v="Karnataka"/>
        <s v="West Bengal"/>
        <s v="Bihar"/>
        <s v="Haryana"/>
        <m/>
      </sharedItems>
    </cacheField>
    <cacheField name="District" numFmtId="49">
      <sharedItems containsBlank="1"/>
    </cacheField>
    <cacheField name="Season" numFmtId="49">
      <sharedItems containsBlank="1"/>
    </cacheField>
    <cacheField name="Crop Name" numFmtId="0">
      <sharedItems containsBlank="1" count="7">
        <s v="Maize"/>
        <s v="Pulses"/>
        <s v="Cotton"/>
        <s v="Sugarcane"/>
        <s v="Rice"/>
        <s v="Wheat"/>
        <m/>
      </sharedItems>
    </cacheField>
    <cacheField name="Area (Hectares)" numFmtId="2">
      <sharedItems containsString="0" containsBlank="1" containsNumber="1" minValue="1.02" maxValue="99.72"/>
    </cacheField>
    <cacheField name="Production (Tonnes)" numFmtId="2">
      <sharedItems containsString="0" containsBlank="1" containsNumber="1" minValue="1.58" maxValue="668.98"/>
    </cacheField>
    <cacheField name="Yield (Kg/Ha)" numFmtId="2">
      <sharedItems containsString="0" containsBlank="1" containsNumber="1" minValue="1015.41" maxValue="6990.6"/>
    </cacheField>
    <cacheField name="Irrigation Type" numFmtId="14">
      <sharedItems containsBlank="1"/>
    </cacheField>
    <cacheField name="Fertilizer Type" numFmtId="49">
      <sharedItems containsBlank="1"/>
    </cacheField>
    <cacheField name="Fertilizer Used (Kg)" numFmtId="2">
      <sharedItems containsString="0" containsBlank="1" containsNumber="1" minValue="51.64" maxValue="299.98"/>
    </cacheField>
    <cacheField name="Rainfall (mm)" numFmtId="2">
      <sharedItems containsString="0" containsBlank="1" containsNumber="1" minValue="201.46" maxValue="1198.45"/>
    </cacheField>
    <cacheField name="Soil Type" numFmtId="49">
      <sharedItems containsBlank="1"/>
    </cacheField>
    <cacheField name="Temperature (Celsius)" numFmtId="2">
      <sharedItems containsString="0" containsBlank="1" containsNumber="1" minValue="20.02" maxValue="34.979999999999997"/>
    </cacheField>
    <cacheField name="Year-Month" numFmtId="0">
      <sharedItems containsBlank="1"/>
    </cacheField>
    <cacheField name="Yield per Acre" numFmtId="2">
      <sharedItems containsString="0" containsBlank="1" containsNumber="1" minValue="13.658999192897497" maxValue="3813.945454545455"/>
    </cacheField>
    <cacheField name="Failure Flag" numFmtId="0">
      <sharedItems containsBlank="1" count="2">
        <s v="Success"/>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ID1"/>
    <d v="2010-04-03T00:00:00"/>
    <n v="2010"/>
    <x v="0"/>
    <x v="0"/>
    <s v="Zaid"/>
    <x v="0"/>
    <n v="25.24"/>
    <n v="46.37"/>
    <n v="1837.23"/>
    <x v="0"/>
    <x v="0"/>
    <n v="219.17"/>
    <x v="0"/>
    <s v="Black"/>
    <x v="0"/>
    <x v="0"/>
    <n v="72.790412044374008"/>
  </r>
  <r>
    <s v="CID2"/>
    <d v="2013-04-11T00:00:00"/>
    <n v="2013"/>
    <x v="1"/>
    <x v="1"/>
    <s v="Zaid"/>
    <x v="1"/>
    <n v="3.63"/>
    <n v="7.96"/>
    <n v="2193.0300000000002"/>
    <x v="1"/>
    <x v="1"/>
    <n v="105.11"/>
    <x v="1"/>
    <s v="Black"/>
    <x v="1"/>
    <x v="1"/>
    <n v="604.14049586776866"/>
  </r>
  <r>
    <s v="CID3"/>
    <d v="2012-10-16T00:00:00"/>
    <n v="2012"/>
    <x v="2"/>
    <x v="2"/>
    <s v="Kharif"/>
    <x v="0"/>
    <n v="11.12"/>
    <n v="36.47"/>
    <n v="3279.56"/>
    <x v="2"/>
    <x v="0"/>
    <n v="261.87"/>
    <x v="2"/>
    <s v="Black"/>
    <x v="2"/>
    <x v="2"/>
    <n v="294.92446043165467"/>
  </r>
  <r>
    <s v="CID4"/>
    <d v="2018-11-21T00:00:00"/>
    <n v="2018"/>
    <x v="3"/>
    <x v="3"/>
    <s v="Rabi"/>
    <x v="2"/>
    <n v="62.23"/>
    <n v="383.97"/>
    <n v="6170.24"/>
    <x v="3"/>
    <x v="2"/>
    <n v="226.14"/>
    <x v="3"/>
    <s v="Red"/>
    <x v="3"/>
    <x v="3"/>
    <n v="99.152177406395637"/>
  </r>
  <r>
    <s v="CID5"/>
    <d v="2016-12-14T00:00:00"/>
    <n v="2016"/>
    <x v="4"/>
    <x v="4"/>
    <s v="Rabi"/>
    <x v="3"/>
    <n v="63.93"/>
    <n v="203.87"/>
    <n v="3188.99"/>
    <x v="2"/>
    <x v="3"/>
    <n v="138.82"/>
    <x v="4"/>
    <s v="Black"/>
    <x v="4"/>
    <x v="4"/>
    <n v="49.882527764742683"/>
  </r>
  <r>
    <s v="CID6"/>
    <d v="2012-11-09T00:00:00"/>
    <n v="2012"/>
    <x v="0"/>
    <x v="0"/>
    <s v="Rabi"/>
    <x v="3"/>
    <n v="27.72"/>
    <n v="181.63"/>
    <n v="6552.35"/>
    <x v="3"/>
    <x v="4"/>
    <n v="221.15"/>
    <x v="5"/>
    <s v="Black"/>
    <x v="5"/>
    <x v="5"/>
    <n v="236.37626262626264"/>
  </r>
  <r>
    <s v="CID7"/>
    <d v="2011-07-06T00:00:00"/>
    <n v="2011"/>
    <x v="3"/>
    <x v="5"/>
    <s v="Kharif"/>
    <x v="1"/>
    <n v="87.76"/>
    <n v="253.46"/>
    <n v="2888.07"/>
    <x v="1"/>
    <x v="2"/>
    <n v="148.91"/>
    <x v="6"/>
    <s v="Laterite"/>
    <x v="6"/>
    <x v="6"/>
    <n v="32.908728350045578"/>
  </r>
  <r>
    <s v="CID8"/>
    <d v="2018-11-24T00:00:00"/>
    <n v="2018"/>
    <x v="0"/>
    <x v="6"/>
    <s v="Rabi"/>
    <x v="2"/>
    <n v="58.87"/>
    <n v="376"/>
    <n v="6386.94"/>
    <x v="1"/>
    <x v="0"/>
    <n v="140.5"/>
    <x v="7"/>
    <s v="Red"/>
    <x v="7"/>
    <x v="3"/>
    <n v="108.49227110582639"/>
  </r>
  <r>
    <s v="CID9"/>
    <d v="2012-05-06T00:00:00"/>
    <n v="2012"/>
    <x v="4"/>
    <x v="4"/>
    <s v="Zaid"/>
    <x v="4"/>
    <n v="79.42"/>
    <n v="280.58999999999997"/>
    <n v="3532.96"/>
    <x v="0"/>
    <x v="0"/>
    <n v="146.19"/>
    <x v="8"/>
    <s v="Laterite"/>
    <x v="8"/>
    <x v="7"/>
    <n v="44.484512717199699"/>
  </r>
  <r>
    <s v="CID10"/>
    <d v="2011-05-17T00:00:00"/>
    <n v="2011"/>
    <x v="0"/>
    <x v="6"/>
    <s v="Zaid"/>
    <x v="1"/>
    <n v="75.34"/>
    <n v="422.78"/>
    <n v="5611.59"/>
    <x v="2"/>
    <x v="4"/>
    <n v="77.89"/>
    <x v="9"/>
    <s v="Laterite"/>
    <x v="9"/>
    <x v="8"/>
    <n v="74.483541279532787"/>
  </r>
  <r>
    <s v="CID11"/>
    <d v="2018-10-14T00:00:00"/>
    <n v="2018"/>
    <x v="5"/>
    <x v="7"/>
    <s v="Kharif"/>
    <x v="2"/>
    <n v="30.55"/>
    <n v="147.66999999999999"/>
    <n v="4833.7"/>
    <x v="3"/>
    <x v="0"/>
    <n v="88.21"/>
    <x v="10"/>
    <s v="Sandy"/>
    <x v="10"/>
    <x v="9"/>
    <n v="158.22258592471357"/>
  </r>
  <r>
    <s v="CID12"/>
    <d v="2017-06-22T00:00:00"/>
    <n v="2017"/>
    <x v="5"/>
    <x v="8"/>
    <s v="Kharif"/>
    <x v="5"/>
    <n v="92.98"/>
    <n v="583.20000000000005"/>
    <n v="6272.33"/>
    <x v="2"/>
    <x v="1"/>
    <n v="109.86"/>
    <x v="11"/>
    <s v="Sandy"/>
    <x v="11"/>
    <x v="10"/>
    <n v="67.458915895891579"/>
  </r>
  <r>
    <s v="CID13"/>
    <d v="2022-05-30T00:00:00"/>
    <n v="2022"/>
    <x v="4"/>
    <x v="4"/>
    <s v="Zaid"/>
    <x v="4"/>
    <n v="13.71"/>
    <n v="52.81"/>
    <n v="3851.69"/>
    <x v="3"/>
    <x v="3"/>
    <n v="116.26"/>
    <x v="12"/>
    <s v="Laterite"/>
    <x v="12"/>
    <x v="11"/>
    <n v="280.94018964259664"/>
  </r>
  <r>
    <s v="CID14"/>
    <d v="2021-06-17T00:00:00"/>
    <n v="2021"/>
    <x v="4"/>
    <x v="9"/>
    <s v="Kharif"/>
    <x v="2"/>
    <n v="31.86"/>
    <n v="222.09"/>
    <n v="6970.9"/>
    <x v="2"/>
    <x v="4"/>
    <n v="159.53"/>
    <x v="13"/>
    <s v="Black"/>
    <x v="13"/>
    <x v="12"/>
    <n v="218.79786566227244"/>
  </r>
  <r>
    <s v="CID15"/>
    <d v="2018-07-31T00:00:00"/>
    <n v="2018"/>
    <x v="1"/>
    <x v="10"/>
    <s v="Kharif"/>
    <x v="1"/>
    <n v="22.8"/>
    <n v="32.51"/>
    <n v="1425.96"/>
    <x v="0"/>
    <x v="4"/>
    <n v="107.24"/>
    <x v="14"/>
    <s v="Alluvial"/>
    <x v="14"/>
    <x v="13"/>
    <n v="62.542105263157893"/>
  </r>
  <r>
    <s v="CID16"/>
    <d v="2013-04-07T00:00:00"/>
    <n v="2013"/>
    <x v="0"/>
    <x v="11"/>
    <s v="Zaid"/>
    <x v="4"/>
    <n v="72.61"/>
    <n v="457.03"/>
    <n v="6294.3"/>
    <x v="1"/>
    <x v="1"/>
    <n v="110.75"/>
    <x v="15"/>
    <s v="Laterite"/>
    <x v="15"/>
    <x v="1"/>
    <n v="86.68640683101502"/>
  </r>
  <r>
    <s v="CID17"/>
    <d v="2016-12-19T00:00:00"/>
    <n v="2016"/>
    <x v="2"/>
    <x v="2"/>
    <s v="Rabi"/>
    <x v="2"/>
    <n v="6.36"/>
    <n v="31.3"/>
    <n v="4920.7299999999996"/>
    <x v="0"/>
    <x v="3"/>
    <n v="65.150000000000006"/>
    <x v="16"/>
    <s v="Black"/>
    <x v="16"/>
    <x v="4"/>
    <n v="773.69968553459114"/>
  </r>
  <r>
    <s v="CID18"/>
    <d v="2016-10-17T00:00:00"/>
    <n v="2016"/>
    <x v="3"/>
    <x v="3"/>
    <s v="Kharif"/>
    <x v="0"/>
    <n v="46.8"/>
    <n v="292.36"/>
    <n v="6246.92"/>
    <x v="0"/>
    <x v="0"/>
    <n v="160.78"/>
    <x v="17"/>
    <s v="Sandy"/>
    <x v="17"/>
    <x v="14"/>
    <n v="133.4811965811966"/>
  </r>
  <r>
    <s v="CID19"/>
    <d v="2013-02-25T00:00:00"/>
    <n v="2012"/>
    <x v="1"/>
    <x v="1"/>
    <s v="Rabi"/>
    <x v="3"/>
    <n v="48.65"/>
    <n v="301.04000000000002"/>
    <n v="6187.9"/>
    <x v="0"/>
    <x v="4"/>
    <n v="91.16"/>
    <x v="18"/>
    <s v="Laterite"/>
    <x v="18"/>
    <x v="15"/>
    <n v="127.19218910585816"/>
  </r>
  <r>
    <s v="CID20"/>
    <d v="2021-04-21T00:00:00"/>
    <n v="2021"/>
    <x v="3"/>
    <x v="12"/>
    <s v="Zaid"/>
    <x v="2"/>
    <n v="72.12"/>
    <n v="139.1"/>
    <n v="1928.78"/>
    <x v="2"/>
    <x v="0"/>
    <n v="104.43"/>
    <x v="19"/>
    <s v="Sandy"/>
    <x v="19"/>
    <x v="16"/>
    <n v="26.744037714919575"/>
  </r>
  <r>
    <s v="CID21"/>
    <d v="2017-04-16T00:00:00"/>
    <n v="2017"/>
    <x v="1"/>
    <x v="10"/>
    <s v="Zaid"/>
    <x v="1"/>
    <n v="16.59"/>
    <n v="112.23"/>
    <n v="6764.67"/>
    <x v="0"/>
    <x v="1"/>
    <n v="262.83999999999997"/>
    <x v="20"/>
    <s v="Black"/>
    <x v="20"/>
    <x v="17"/>
    <n v="407.75587703435804"/>
  </r>
  <r>
    <s v="CID22"/>
    <d v="2013-04-26T00:00:00"/>
    <n v="2013"/>
    <x v="1"/>
    <x v="10"/>
    <s v="Zaid"/>
    <x v="1"/>
    <n v="4.93"/>
    <n v="7.36"/>
    <n v="1491.9"/>
    <x v="2"/>
    <x v="2"/>
    <n v="283.68"/>
    <x v="21"/>
    <s v="Alluvial"/>
    <x v="21"/>
    <x v="1"/>
    <n v="302.61663286004062"/>
  </r>
  <r>
    <s v="CID23"/>
    <d v="2014-12-25T00:00:00"/>
    <n v="2014"/>
    <x v="0"/>
    <x v="6"/>
    <s v="Rabi"/>
    <x v="0"/>
    <n v="92.97"/>
    <n v="614.94000000000005"/>
    <n v="6614.41"/>
    <x v="0"/>
    <x v="3"/>
    <n v="164.57"/>
    <x v="22"/>
    <s v="Black"/>
    <x v="22"/>
    <x v="18"/>
    <n v="71.145638377971395"/>
  </r>
  <r>
    <s v="CID24"/>
    <d v="2015-10-20T00:00:00"/>
    <n v="2015"/>
    <x v="2"/>
    <x v="13"/>
    <s v="Kharif"/>
    <x v="4"/>
    <n v="37.58"/>
    <n v="73.150000000000006"/>
    <n v="1946.48"/>
    <x v="2"/>
    <x v="4"/>
    <n v="202.92"/>
    <x v="23"/>
    <s v="Sandy"/>
    <x v="23"/>
    <x v="19"/>
    <n v="51.795635976583291"/>
  </r>
  <r>
    <s v="CID25"/>
    <d v="2013-01-07T00:00:00"/>
    <n v="2012"/>
    <x v="0"/>
    <x v="0"/>
    <s v="Rabi"/>
    <x v="5"/>
    <n v="89.08"/>
    <n v="485.89"/>
    <n v="5454.5"/>
    <x v="3"/>
    <x v="3"/>
    <n v="118.09"/>
    <x v="24"/>
    <s v="Alluvial"/>
    <x v="24"/>
    <x v="20"/>
    <n v="61.231477323753928"/>
  </r>
  <r>
    <s v="CID26"/>
    <d v="2010-09-22T00:00:00"/>
    <n v="2010"/>
    <x v="3"/>
    <x v="5"/>
    <s v="Kharif"/>
    <x v="2"/>
    <n v="42.93"/>
    <n v="114.2"/>
    <n v="2660.08"/>
    <x v="0"/>
    <x v="3"/>
    <n v="133.38999999999999"/>
    <x v="25"/>
    <s v="Alluvial"/>
    <x v="25"/>
    <x v="21"/>
    <n v="61.963195900302814"/>
  </r>
  <r>
    <s v="CID27"/>
    <d v="2018-09-19T00:00:00"/>
    <n v="2018"/>
    <x v="0"/>
    <x v="11"/>
    <s v="Kharif"/>
    <x v="5"/>
    <n v="8.4499999999999993"/>
    <n v="53.22"/>
    <n v="6298.64"/>
    <x v="3"/>
    <x v="2"/>
    <n v="186.4"/>
    <x v="26"/>
    <s v="Sandy"/>
    <x v="26"/>
    <x v="22"/>
    <n v="745.40118343195275"/>
  </r>
  <r>
    <s v="CID28"/>
    <d v="2015-07-10T00:00:00"/>
    <n v="2015"/>
    <x v="1"/>
    <x v="14"/>
    <s v="Kharif"/>
    <x v="0"/>
    <n v="21.8"/>
    <n v="54.44"/>
    <n v="2497.1799999999998"/>
    <x v="0"/>
    <x v="2"/>
    <n v="138.41999999999999"/>
    <x v="27"/>
    <s v="Laterite"/>
    <x v="27"/>
    <x v="23"/>
    <n v="114.54954128440366"/>
  </r>
  <r>
    <s v="CID29"/>
    <d v="2022-06-28T00:00:00"/>
    <n v="2022"/>
    <x v="4"/>
    <x v="4"/>
    <s v="Kharif"/>
    <x v="3"/>
    <n v="3.45"/>
    <n v="18.7"/>
    <n v="5419.39"/>
    <x v="2"/>
    <x v="1"/>
    <n v="245.6"/>
    <x v="28"/>
    <s v="Red"/>
    <x v="28"/>
    <x v="24"/>
    <n v="1570.8376811594203"/>
  </r>
  <r>
    <s v="CID30"/>
    <d v="2017-07-20T00:00:00"/>
    <n v="2017"/>
    <x v="4"/>
    <x v="4"/>
    <s v="Kharif"/>
    <x v="4"/>
    <n v="81.84"/>
    <n v="307.87"/>
    <n v="3761.82"/>
    <x v="2"/>
    <x v="1"/>
    <n v="255.13"/>
    <x v="29"/>
    <s v="Red"/>
    <x v="29"/>
    <x v="25"/>
    <n v="45.965542521994138"/>
  </r>
  <r>
    <s v="CID31"/>
    <d v="2012-01-07T00:00:00"/>
    <n v="2011"/>
    <x v="2"/>
    <x v="2"/>
    <s v="Rabi"/>
    <x v="0"/>
    <n v="64.510000000000005"/>
    <n v="219.21"/>
    <n v="3398.07"/>
    <x v="2"/>
    <x v="0"/>
    <n v="284.81"/>
    <x v="30"/>
    <s v="Alluvial"/>
    <x v="30"/>
    <x v="26"/>
    <n v="52.675089133467679"/>
  </r>
  <r>
    <s v="CID32"/>
    <d v="2017-02-20T00:00:00"/>
    <n v="2016"/>
    <x v="1"/>
    <x v="10"/>
    <s v="Rabi"/>
    <x v="2"/>
    <n v="78.86"/>
    <n v="285.33999999999997"/>
    <n v="3618.36"/>
    <x v="0"/>
    <x v="0"/>
    <n v="146.30000000000001"/>
    <x v="31"/>
    <s v="Alluvial"/>
    <x v="31"/>
    <x v="27"/>
    <n v="45.883337560233329"/>
  </r>
  <r>
    <s v="CID33"/>
    <d v="2020-05-13T00:00:00"/>
    <n v="2020"/>
    <x v="5"/>
    <x v="15"/>
    <s v="Zaid"/>
    <x v="2"/>
    <n v="73.97"/>
    <n v="161.41999999999999"/>
    <n v="2182.21"/>
    <x v="1"/>
    <x v="0"/>
    <n v="67.489999999999995"/>
    <x v="32"/>
    <s v="Alluvial"/>
    <x v="32"/>
    <x v="28"/>
    <n v="29.501284304447751"/>
  </r>
  <r>
    <s v="CID34"/>
    <d v="2018-12-15T00:00:00"/>
    <n v="2018"/>
    <x v="0"/>
    <x v="11"/>
    <s v="Rabi"/>
    <x v="2"/>
    <n v="41.43"/>
    <n v="141.46"/>
    <n v="3414.4"/>
    <x v="2"/>
    <x v="3"/>
    <n v="188.6"/>
    <x v="33"/>
    <s v="Laterite"/>
    <x v="33"/>
    <x v="29"/>
    <n v="82.413709872073383"/>
  </r>
  <r>
    <s v="CID35"/>
    <d v="2016-05-21T00:00:00"/>
    <n v="2016"/>
    <x v="5"/>
    <x v="8"/>
    <s v="Zaid"/>
    <x v="5"/>
    <n v="31.08"/>
    <n v="70.27"/>
    <n v="2261.1"/>
    <x v="2"/>
    <x v="2"/>
    <n v="166.25"/>
    <x v="34"/>
    <s v="Red"/>
    <x v="34"/>
    <x v="30"/>
    <n v="72.750965250965251"/>
  </r>
  <r>
    <s v="CID36"/>
    <d v="2014-04-03T00:00:00"/>
    <n v="2014"/>
    <x v="0"/>
    <x v="0"/>
    <s v="Zaid"/>
    <x v="2"/>
    <n v="63.66"/>
    <n v="191.69"/>
    <n v="3011.13"/>
    <x v="3"/>
    <x v="2"/>
    <n v="218.2"/>
    <x v="35"/>
    <s v="Red"/>
    <x v="35"/>
    <x v="31"/>
    <n v="47.300188501413764"/>
  </r>
  <r>
    <s v="CID37"/>
    <d v="2022-06-02T00:00:00"/>
    <n v="2022"/>
    <x v="3"/>
    <x v="12"/>
    <s v="Kharif"/>
    <x v="3"/>
    <n v="42.03"/>
    <n v="200.84"/>
    <n v="4778.59"/>
    <x v="3"/>
    <x v="0"/>
    <n v="229.59"/>
    <x v="36"/>
    <s v="Laterite"/>
    <x v="36"/>
    <x v="24"/>
    <n v="113.69474185105877"/>
  </r>
  <r>
    <s v="CID38"/>
    <d v="2013-10-14T00:00:00"/>
    <n v="2013"/>
    <x v="4"/>
    <x v="16"/>
    <s v="Kharif"/>
    <x v="2"/>
    <n v="52.28"/>
    <n v="68.03"/>
    <n v="1301.31"/>
    <x v="3"/>
    <x v="3"/>
    <n v="279.37"/>
    <x v="37"/>
    <s v="Red"/>
    <x v="37"/>
    <x v="32"/>
    <n v="24.89116296863045"/>
  </r>
  <r>
    <s v="CID39"/>
    <d v="2023-03-02T00:00:00"/>
    <n v="2022"/>
    <x v="5"/>
    <x v="8"/>
    <s v="Rabi"/>
    <x v="1"/>
    <n v="81.69"/>
    <n v="518.9"/>
    <n v="6352.12"/>
    <x v="1"/>
    <x v="1"/>
    <n v="257.64"/>
    <x v="38"/>
    <s v="Red"/>
    <x v="38"/>
    <x v="33"/>
    <n v="77.758844411800709"/>
  </r>
  <r>
    <s v="CID40"/>
    <d v="2021-03-19T00:00:00"/>
    <n v="2020"/>
    <x v="2"/>
    <x v="13"/>
    <s v="Rabi"/>
    <x v="1"/>
    <n v="48.98"/>
    <n v="119.29"/>
    <n v="2435.48"/>
    <x v="1"/>
    <x v="0"/>
    <n v="69.37"/>
    <x v="39"/>
    <s v="Alluvial"/>
    <x v="39"/>
    <x v="34"/>
    <n v="49.723968966925277"/>
  </r>
  <r>
    <s v="CID41"/>
    <d v="2014-02-16T00:00:00"/>
    <n v="2013"/>
    <x v="6"/>
    <x v="17"/>
    <s v="Rabi"/>
    <x v="2"/>
    <n v="16.13"/>
    <n v="36.840000000000003"/>
    <n v="2283.7199999999998"/>
    <x v="1"/>
    <x v="1"/>
    <n v="151.9"/>
    <x v="40"/>
    <s v="Laterite"/>
    <x v="40"/>
    <x v="35"/>
    <n v="141.58214507129571"/>
  </r>
  <r>
    <s v="CID42"/>
    <d v="2021-10-18T00:00:00"/>
    <n v="2021"/>
    <x v="4"/>
    <x v="9"/>
    <s v="Kharif"/>
    <x v="1"/>
    <n v="38.659999999999997"/>
    <n v="40.03"/>
    <n v="1035.3800000000001"/>
    <x v="2"/>
    <x v="3"/>
    <n v="124.65"/>
    <x v="41"/>
    <s v="Laterite"/>
    <x v="41"/>
    <x v="36"/>
    <n v="26.781686497672016"/>
  </r>
  <r>
    <s v="CID43"/>
    <d v="2014-03-17T00:00:00"/>
    <n v="2013"/>
    <x v="6"/>
    <x v="18"/>
    <s v="Rabi"/>
    <x v="3"/>
    <n v="49.08"/>
    <n v="163.59"/>
    <n v="3333.14"/>
    <x v="1"/>
    <x v="0"/>
    <n v="231.05"/>
    <x v="42"/>
    <s v="Red"/>
    <x v="42"/>
    <x v="37"/>
    <n v="67.912387938060306"/>
  </r>
  <r>
    <s v="CID44"/>
    <d v="2019-04-21T00:00:00"/>
    <n v="2019"/>
    <x v="3"/>
    <x v="12"/>
    <s v="Zaid"/>
    <x v="5"/>
    <n v="9.31"/>
    <n v="33.25"/>
    <n v="3571.68"/>
    <x v="1"/>
    <x v="4"/>
    <n v="95.43"/>
    <x v="43"/>
    <s v="Alluvial"/>
    <x v="43"/>
    <x v="38"/>
    <n v="383.63909774436087"/>
  </r>
  <r>
    <s v="CID45"/>
    <d v="2014-11-11T00:00:00"/>
    <n v="2014"/>
    <x v="4"/>
    <x v="16"/>
    <s v="Rabi"/>
    <x v="0"/>
    <n v="83.66"/>
    <n v="319.74"/>
    <n v="3821.84"/>
    <x v="0"/>
    <x v="0"/>
    <n v="299.98"/>
    <x v="44"/>
    <s v="Black"/>
    <x v="44"/>
    <x v="39"/>
    <n v="45.683002629691615"/>
  </r>
  <r>
    <s v="CID46"/>
    <d v="2010-04-11T00:00:00"/>
    <n v="2010"/>
    <x v="6"/>
    <x v="17"/>
    <s v="Zaid"/>
    <x v="4"/>
    <n v="24.62"/>
    <n v="94.57"/>
    <n v="3841.37"/>
    <x v="0"/>
    <x v="3"/>
    <n v="190.99"/>
    <x v="45"/>
    <s v="Alluvial"/>
    <x v="45"/>
    <x v="0"/>
    <n v="156.02640129975629"/>
  </r>
  <r>
    <s v="CID47"/>
    <d v="2021-07-21T00:00:00"/>
    <n v="2021"/>
    <x v="5"/>
    <x v="15"/>
    <s v="Kharif"/>
    <x v="4"/>
    <n v="96.51"/>
    <n v="159.11000000000001"/>
    <n v="1648.59"/>
    <x v="0"/>
    <x v="0"/>
    <n v="282.22000000000003"/>
    <x v="46"/>
    <s v="Laterite"/>
    <x v="46"/>
    <x v="40"/>
    <n v="17.082064034815044"/>
  </r>
  <r>
    <s v="CID48"/>
    <d v="2020-09-18T00:00:00"/>
    <n v="2020"/>
    <x v="5"/>
    <x v="15"/>
    <s v="Kharif"/>
    <x v="5"/>
    <n v="70.02"/>
    <n v="196.72"/>
    <n v="2809.5"/>
    <x v="0"/>
    <x v="4"/>
    <n v="249.06"/>
    <x v="47"/>
    <s v="Black"/>
    <x v="47"/>
    <x v="41"/>
    <n v="40.12425021422451"/>
  </r>
  <r>
    <s v="CID49"/>
    <d v="2021-02-20T00:00:00"/>
    <n v="2020"/>
    <x v="1"/>
    <x v="10"/>
    <s v="Rabi"/>
    <x v="5"/>
    <n v="85.11"/>
    <n v="505.04"/>
    <n v="5933.99"/>
    <x v="0"/>
    <x v="2"/>
    <n v="158.38"/>
    <x v="48"/>
    <s v="Laterite"/>
    <x v="48"/>
    <x v="42"/>
    <n v="69.721419339678064"/>
  </r>
  <r>
    <s v="CID50"/>
    <d v="2021-01-02T00:00:00"/>
    <n v="2020"/>
    <x v="0"/>
    <x v="6"/>
    <s v="Rabi"/>
    <x v="1"/>
    <n v="81.010000000000005"/>
    <n v="342.59"/>
    <n v="4229.04"/>
    <x v="1"/>
    <x v="0"/>
    <n v="166.22"/>
    <x v="49"/>
    <s v="Sandy"/>
    <x v="49"/>
    <x v="43"/>
    <n v="52.203925441303539"/>
  </r>
  <r>
    <s v="CID51"/>
    <d v="2014-01-06T00:00:00"/>
    <n v="2013"/>
    <x v="2"/>
    <x v="2"/>
    <s v="Rabi"/>
    <x v="1"/>
    <n v="61.42"/>
    <n v="201.09"/>
    <n v="3273.94"/>
    <x v="0"/>
    <x v="4"/>
    <n v="173.58"/>
    <x v="50"/>
    <s v="Laterite"/>
    <x v="50"/>
    <x v="44"/>
    <n v="53.30413546076197"/>
  </r>
  <r>
    <s v="CID52"/>
    <d v="2022-03-02T00:00:00"/>
    <n v="2021"/>
    <x v="2"/>
    <x v="19"/>
    <s v="Rabi"/>
    <x v="1"/>
    <n v="2"/>
    <n v="13.38"/>
    <n v="6688.38"/>
    <x v="0"/>
    <x v="1"/>
    <n v="110.34"/>
    <x v="51"/>
    <s v="Sandy"/>
    <x v="51"/>
    <x v="45"/>
    <n v="3344.19"/>
  </r>
  <r>
    <s v="CID53"/>
    <d v="2012-03-20T00:00:00"/>
    <n v="2011"/>
    <x v="3"/>
    <x v="3"/>
    <s v="Rabi"/>
    <x v="4"/>
    <n v="41.04"/>
    <n v="100.95"/>
    <n v="2459.83"/>
    <x v="2"/>
    <x v="4"/>
    <n v="168.32"/>
    <x v="52"/>
    <s v="Laterite"/>
    <x v="52"/>
    <x v="46"/>
    <n v="59.937378167641327"/>
  </r>
  <r>
    <s v="CID54"/>
    <d v="2018-03-04T00:00:00"/>
    <n v="2017"/>
    <x v="2"/>
    <x v="19"/>
    <s v="Rabi"/>
    <x v="0"/>
    <n v="25.89"/>
    <n v="44.63"/>
    <n v="1723.94"/>
    <x v="3"/>
    <x v="4"/>
    <n v="128.88999999999999"/>
    <x v="53"/>
    <s v="Red"/>
    <x v="53"/>
    <x v="47"/>
    <n v="66.587099266125918"/>
  </r>
  <r>
    <s v="CID55"/>
    <d v="2022-05-05T00:00:00"/>
    <n v="2022"/>
    <x v="0"/>
    <x v="6"/>
    <s v="Zaid"/>
    <x v="1"/>
    <n v="29.02"/>
    <n v="46.52"/>
    <n v="1603.16"/>
    <x v="3"/>
    <x v="2"/>
    <n v="124.06"/>
    <x v="54"/>
    <s v="Alluvial"/>
    <x v="54"/>
    <x v="11"/>
    <n v="55.243280496209515"/>
  </r>
  <r>
    <s v="CID56"/>
    <d v="2010-04-29T00:00:00"/>
    <n v="2010"/>
    <x v="2"/>
    <x v="13"/>
    <s v="Zaid"/>
    <x v="0"/>
    <n v="70.040000000000006"/>
    <n v="123.11"/>
    <n v="1757.68"/>
    <x v="1"/>
    <x v="4"/>
    <n v="75.650000000000006"/>
    <x v="55"/>
    <s v="Alluvial"/>
    <x v="55"/>
    <x v="0"/>
    <n v="25.095374071958879"/>
  </r>
  <r>
    <s v="CID57"/>
    <d v="2015-03-25T00:00:00"/>
    <n v="2014"/>
    <x v="6"/>
    <x v="17"/>
    <s v="Rabi"/>
    <x v="5"/>
    <n v="82.39"/>
    <n v="280.48"/>
    <n v="3404.24"/>
    <x v="0"/>
    <x v="4"/>
    <n v="194.26"/>
    <x v="56"/>
    <s v="Red"/>
    <x v="56"/>
    <x v="48"/>
    <n v="41.318606627017836"/>
  </r>
  <r>
    <s v="CID58"/>
    <d v="2011-05-08T00:00:00"/>
    <n v="2011"/>
    <x v="1"/>
    <x v="1"/>
    <s v="Zaid"/>
    <x v="3"/>
    <n v="61.03"/>
    <n v="350.58"/>
    <n v="5744.44"/>
    <x v="3"/>
    <x v="1"/>
    <n v="243.92"/>
    <x v="57"/>
    <s v="Laterite"/>
    <x v="57"/>
    <x v="8"/>
    <n v="94.124856627887922"/>
  </r>
  <r>
    <s v="CID59"/>
    <d v="2019-07-15T00:00:00"/>
    <n v="2019"/>
    <x v="2"/>
    <x v="19"/>
    <s v="Kharif"/>
    <x v="1"/>
    <n v="96.05"/>
    <n v="153.24"/>
    <n v="1595.4"/>
    <x v="3"/>
    <x v="3"/>
    <n v="206.38"/>
    <x v="58"/>
    <s v="Black"/>
    <x v="58"/>
    <x v="49"/>
    <n v="16.610098906819367"/>
  </r>
  <r>
    <s v="CID60"/>
    <d v="2010-12-30T00:00:00"/>
    <n v="2010"/>
    <x v="1"/>
    <x v="1"/>
    <s v="Rabi"/>
    <x v="3"/>
    <n v="69.25"/>
    <n v="264.5"/>
    <n v="3819.47"/>
    <x v="0"/>
    <x v="4"/>
    <n v="107.87"/>
    <x v="59"/>
    <s v="Laterite"/>
    <x v="59"/>
    <x v="50"/>
    <n v="55.154801444043315"/>
  </r>
  <r>
    <s v="CID61"/>
    <d v="2019-05-21T00:00:00"/>
    <n v="2019"/>
    <x v="4"/>
    <x v="9"/>
    <s v="Zaid"/>
    <x v="4"/>
    <n v="43.09"/>
    <n v="183.88"/>
    <n v="4267.37"/>
    <x v="3"/>
    <x v="4"/>
    <n v="277.10000000000002"/>
    <x v="60"/>
    <s v="Black"/>
    <x v="60"/>
    <x v="51"/>
    <n v="99.033882571362255"/>
  </r>
  <r>
    <s v="CID62"/>
    <d v="2019-11-11T00:00:00"/>
    <n v="2019"/>
    <x v="5"/>
    <x v="15"/>
    <s v="Rabi"/>
    <x v="3"/>
    <n v="13.31"/>
    <n v="68.31"/>
    <n v="5132.07"/>
    <x v="1"/>
    <x v="1"/>
    <n v="285.67"/>
    <x v="61"/>
    <s v="Laterite"/>
    <x v="61"/>
    <x v="52"/>
    <n v="385.580015026296"/>
  </r>
  <r>
    <s v="CID63"/>
    <d v="2019-12-15T00:00:00"/>
    <n v="2019"/>
    <x v="0"/>
    <x v="11"/>
    <s v="Rabi"/>
    <x v="5"/>
    <n v="10.039999999999999"/>
    <n v="67.989999999999995"/>
    <n v="6771.47"/>
    <x v="0"/>
    <x v="1"/>
    <n v="299.89"/>
    <x v="62"/>
    <s v="Alluvial"/>
    <x v="62"/>
    <x v="53"/>
    <n v="674.4492031872511"/>
  </r>
  <r>
    <s v="CID64"/>
    <d v="2017-11-27T00:00:00"/>
    <n v="2017"/>
    <x v="5"/>
    <x v="15"/>
    <s v="Rabi"/>
    <x v="4"/>
    <n v="99.7"/>
    <n v="360.45"/>
    <n v="3615.31"/>
    <x v="1"/>
    <x v="2"/>
    <n v="292.26"/>
    <x v="63"/>
    <s v="Laterite"/>
    <x v="63"/>
    <x v="54"/>
    <n v="36.261885656970911"/>
  </r>
  <r>
    <s v="CID65"/>
    <d v="2022-02-12T00:00:00"/>
    <n v="2021"/>
    <x v="2"/>
    <x v="2"/>
    <s v="Rabi"/>
    <x v="0"/>
    <n v="66.599999999999994"/>
    <n v="226.62"/>
    <n v="3402.71"/>
    <x v="0"/>
    <x v="3"/>
    <n v="163.71"/>
    <x v="64"/>
    <s v="Alluvial"/>
    <x v="64"/>
    <x v="55"/>
    <n v="51.09174174174175"/>
  </r>
  <r>
    <s v="CID66"/>
    <d v="2020-04-14T00:00:00"/>
    <n v="2020"/>
    <x v="4"/>
    <x v="4"/>
    <s v="Zaid"/>
    <x v="3"/>
    <n v="41.91"/>
    <n v="89.08"/>
    <n v="2125.5"/>
    <x v="2"/>
    <x v="4"/>
    <n v="205.66"/>
    <x v="65"/>
    <s v="Laterite"/>
    <x v="65"/>
    <x v="56"/>
    <n v="50.715819613457413"/>
  </r>
  <r>
    <s v="CID67"/>
    <d v="2014-11-24T00:00:00"/>
    <n v="2014"/>
    <x v="5"/>
    <x v="7"/>
    <s v="Rabi"/>
    <x v="2"/>
    <n v="48.99"/>
    <n v="57.48"/>
    <n v="1173.22"/>
    <x v="3"/>
    <x v="2"/>
    <n v="227.45"/>
    <x v="66"/>
    <s v="Black"/>
    <x v="66"/>
    <x v="39"/>
    <n v="23.94815268422127"/>
  </r>
  <r>
    <s v="CID68"/>
    <d v="2017-08-02T00:00:00"/>
    <n v="2017"/>
    <x v="4"/>
    <x v="4"/>
    <s v="Kharif"/>
    <x v="2"/>
    <n v="83.38"/>
    <n v="332.71"/>
    <n v="3990.25"/>
    <x v="2"/>
    <x v="1"/>
    <n v="177.22"/>
    <x v="67"/>
    <s v="Laterite"/>
    <x v="67"/>
    <x v="57"/>
    <n v="47.856200527704488"/>
  </r>
  <r>
    <s v="CID69"/>
    <d v="2016-10-08T00:00:00"/>
    <n v="2016"/>
    <x v="5"/>
    <x v="7"/>
    <s v="Kharif"/>
    <x v="1"/>
    <n v="51.32"/>
    <n v="322.08"/>
    <n v="6275.96"/>
    <x v="0"/>
    <x v="4"/>
    <n v="119.06"/>
    <x v="68"/>
    <s v="Laterite"/>
    <x v="68"/>
    <x v="14"/>
    <n v="122.29072486360093"/>
  </r>
  <r>
    <s v="CID70"/>
    <d v="2014-05-06T00:00:00"/>
    <n v="2014"/>
    <x v="4"/>
    <x v="4"/>
    <s v="Zaid"/>
    <x v="0"/>
    <n v="83.91"/>
    <n v="375.88"/>
    <n v="4479.54"/>
    <x v="1"/>
    <x v="3"/>
    <n v="266.32"/>
    <x v="69"/>
    <s v="Laterite"/>
    <x v="69"/>
    <x v="58"/>
    <n v="53.385055416517702"/>
  </r>
  <r>
    <s v="CID71"/>
    <d v="2015-07-09T00:00:00"/>
    <n v="2015"/>
    <x v="3"/>
    <x v="5"/>
    <s v="Kharif"/>
    <x v="2"/>
    <n v="24.64"/>
    <n v="81.260000000000005"/>
    <n v="3297.83"/>
    <x v="1"/>
    <x v="1"/>
    <n v="60.91"/>
    <x v="70"/>
    <s v="Laterite"/>
    <x v="70"/>
    <x v="23"/>
    <n v="133.84050324675323"/>
  </r>
  <r>
    <s v="CID72"/>
    <d v="2018-04-27T00:00:00"/>
    <n v="2018"/>
    <x v="1"/>
    <x v="1"/>
    <s v="Zaid"/>
    <x v="0"/>
    <n v="87.1"/>
    <n v="543.95000000000005"/>
    <n v="6245.14"/>
    <x v="1"/>
    <x v="2"/>
    <n v="74.930000000000007"/>
    <x v="71"/>
    <s v="Black"/>
    <x v="71"/>
    <x v="59"/>
    <n v="71.700803673938012"/>
  </r>
  <r>
    <s v="CID73"/>
    <d v="2023-01-21T00:00:00"/>
    <n v="2022"/>
    <x v="1"/>
    <x v="14"/>
    <s v="Rabi"/>
    <x v="0"/>
    <n v="62.7"/>
    <n v="212.23"/>
    <n v="3384.9"/>
    <x v="0"/>
    <x v="1"/>
    <n v="262.94"/>
    <x v="72"/>
    <s v="Sandy"/>
    <x v="72"/>
    <x v="60"/>
    <n v="53.985645933014354"/>
  </r>
  <r>
    <s v="CID74"/>
    <d v="2010-05-19T00:00:00"/>
    <n v="2010"/>
    <x v="4"/>
    <x v="9"/>
    <s v="Zaid"/>
    <x v="5"/>
    <n v="24.24"/>
    <n v="123.78"/>
    <n v="5106.3999999999996"/>
    <x v="2"/>
    <x v="0"/>
    <n v="299.36"/>
    <x v="73"/>
    <s v="Laterite"/>
    <x v="73"/>
    <x v="61"/>
    <n v="210.66006600660066"/>
  </r>
  <r>
    <s v="CID75"/>
    <d v="2022-03-25T00:00:00"/>
    <n v="2021"/>
    <x v="3"/>
    <x v="3"/>
    <s v="Rabi"/>
    <x v="5"/>
    <n v="5.55"/>
    <n v="32.06"/>
    <n v="5776.86"/>
    <x v="2"/>
    <x v="2"/>
    <n v="139.62"/>
    <x v="74"/>
    <s v="Red"/>
    <x v="74"/>
    <x v="45"/>
    <n v="1040.8756756756757"/>
  </r>
  <r>
    <s v="CID76"/>
    <d v="2011-04-01T00:00:00"/>
    <n v="2011"/>
    <x v="6"/>
    <x v="17"/>
    <s v="Zaid"/>
    <x v="3"/>
    <n v="62.35"/>
    <n v="152.44"/>
    <n v="2444.98"/>
    <x v="3"/>
    <x v="1"/>
    <n v="108.05"/>
    <x v="75"/>
    <s v="Laterite"/>
    <x v="75"/>
    <x v="62"/>
    <n v="39.213793103448275"/>
  </r>
  <r>
    <s v="CID77"/>
    <d v="2018-08-17T00:00:00"/>
    <n v="2018"/>
    <x v="2"/>
    <x v="19"/>
    <s v="Kharif"/>
    <x v="5"/>
    <n v="44.73"/>
    <n v="137.47"/>
    <n v="3073.39"/>
    <x v="2"/>
    <x v="2"/>
    <n v="209.73"/>
    <x v="76"/>
    <s v="Alluvial"/>
    <x v="76"/>
    <x v="63"/>
    <n v="68.70981444220881"/>
  </r>
  <r>
    <s v="CID78"/>
    <d v="2011-10-23T00:00:00"/>
    <n v="2011"/>
    <x v="3"/>
    <x v="5"/>
    <s v="Kharif"/>
    <x v="3"/>
    <n v="57.62"/>
    <n v="256.33999999999997"/>
    <n v="4448.87"/>
    <x v="2"/>
    <x v="0"/>
    <n v="55.48"/>
    <x v="77"/>
    <s v="Laterite"/>
    <x v="77"/>
    <x v="64"/>
    <n v="77.210517181534186"/>
  </r>
  <r>
    <s v="CID79"/>
    <d v="2017-11-11T00:00:00"/>
    <n v="2017"/>
    <x v="5"/>
    <x v="15"/>
    <s v="Rabi"/>
    <x v="4"/>
    <n v="61.1"/>
    <n v="190.26"/>
    <n v="3113.93"/>
    <x v="3"/>
    <x v="4"/>
    <n v="205.22"/>
    <x v="78"/>
    <s v="Red"/>
    <x v="78"/>
    <x v="54"/>
    <n v="50.964484451718491"/>
  </r>
  <r>
    <s v="CID80"/>
    <d v="2010-05-05T00:00:00"/>
    <n v="2010"/>
    <x v="4"/>
    <x v="16"/>
    <s v="Zaid"/>
    <x v="0"/>
    <n v="73.5"/>
    <n v="113.25"/>
    <n v="1540.8"/>
    <x v="2"/>
    <x v="4"/>
    <n v="131.68"/>
    <x v="79"/>
    <s v="Red"/>
    <x v="79"/>
    <x v="61"/>
    <n v="20.963265306122448"/>
  </r>
  <r>
    <s v="CID81"/>
    <d v="2014-06-20T00:00:00"/>
    <n v="2014"/>
    <x v="5"/>
    <x v="15"/>
    <s v="Kharif"/>
    <x v="0"/>
    <n v="91.49"/>
    <n v="609.79"/>
    <n v="6665.13"/>
    <x v="2"/>
    <x v="2"/>
    <n v="236.64"/>
    <x v="80"/>
    <s v="Black"/>
    <x v="80"/>
    <x v="65"/>
    <n v="72.850912668051151"/>
  </r>
  <r>
    <s v="CID82"/>
    <d v="2020-04-30T00:00:00"/>
    <n v="2020"/>
    <x v="4"/>
    <x v="4"/>
    <s v="Zaid"/>
    <x v="2"/>
    <n v="98.01"/>
    <n v="666.82"/>
    <n v="6803.62"/>
    <x v="2"/>
    <x v="4"/>
    <n v="72.58"/>
    <x v="81"/>
    <s v="Alluvial"/>
    <x v="81"/>
    <x v="56"/>
    <n v="69.417610447913475"/>
  </r>
  <r>
    <s v="CID83"/>
    <d v="2021-03-24T00:00:00"/>
    <n v="2020"/>
    <x v="0"/>
    <x v="6"/>
    <s v="Rabi"/>
    <x v="1"/>
    <n v="38.72"/>
    <n v="187.07"/>
    <n v="4831.3"/>
    <x v="2"/>
    <x v="4"/>
    <n v="77.09"/>
    <x v="82"/>
    <s v="Black"/>
    <x v="82"/>
    <x v="34"/>
    <n v="124.77530991735539"/>
  </r>
  <r>
    <s v="CID84"/>
    <d v="2020-08-17T00:00:00"/>
    <n v="2020"/>
    <x v="5"/>
    <x v="7"/>
    <s v="Kharif"/>
    <x v="2"/>
    <n v="82.56"/>
    <n v="533.03"/>
    <n v="6456.33"/>
    <x v="2"/>
    <x v="1"/>
    <n v="212.31"/>
    <x v="83"/>
    <s v="Black"/>
    <x v="83"/>
    <x v="66"/>
    <n v="78.201671511627907"/>
  </r>
  <r>
    <s v="CID85"/>
    <d v="2013-05-24T00:00:00"/>
    <n v="2013"/>
    <x v="1"/>
    <x v="1"/>
    <s v="Zaid"/>
    <x v="4"/>
    <n v="39.479999999999997"/>
    <n v="127.37"/>
    <n v="3226.07"/>
    <x v="1"/>
    <x v="1"/>
    <n v="196.84"/>
    <x v="84"/>
    <s v="Laterite"/>
    <x v="84"/>
    <x v="67"/>
    <n v="81.714032421479246"/>
  </r>
  <r>
    <s v="CID86"/>
    <d v="2014-08-31T00:00:00"/>
    <n v="2014"/>
    <x v="5"/>
    <x v="8"/>
    <s v="Kharif"/>
    <x v="2"/>
    <n v="37.68"/>
    <n v="137.91999999999999"/>
    <n v="3660.3"/>
    <x v="3"/>
    <x v="0"/>
    <n v="263.86"/>
    <x v="85"/>
    <s v="Alluvial"/>
    <x v="85"/>
    <x v="68"/>
    <n v="97.141719745222929"/>
  </r>
  <r>
    <s v="CID87"/>
    <d v="2013-07-23T00:00:00"/>
    <n v="2013"/>
    <x v="3"/>
    <x v="5"/>
    <s v="Kharif"/>
    <x v="3"/>
    <n v="10.08"/>
    <n v="22.91"/>
    <n v="2272.63"/>
    <x v="0"/>
    <x v="0"/>
    <n v="62.64"/>
    <x v="86"/>
    <s v="Red"/>
    <x v="86"/>
    <x v="69"/>
    <n v="225.45932539682539"/>
  </r>
  <r>
    <s v="CID88"/>
    <d v="2013-04-10T00:00:00"/>
    <n v="2013"/>
    <x v="4"/>
    <x v="9"/>
    <s v="Zaid"/>
    <x v="4"/>
    <n v="81.489999999999995"/>
    <n v="195.41"/>
    <n v="2397.9899999999998"/>
    <x v="3"/>
    <x v="2"/>
    <n v="247.16"/>
    <x v="87"/>
    <s v="Alluvial"/>
    <x v="87"/>
    <x v="1"/>
    <n v="29.426800834458216"/>
  </r>
  <r>
    <s v="CID89"/>
    <d v="2022-07-15T00:00:00"/>
    <n v="2022"/>
    <x v="5"/>
    <x v="8"/>
    <s v="Kharif"/>
    <x v="5"/>
    <n v="66.44"/>
    <n v="76.72"/>
    <n v="1154.68"/>
    <x v="0"/>
    <x v="4"/>
    <n v="139.56"/>
    <x v="88"/>
    <s v="Sandy"/>
    <x v="88"/>
    <x v="70"/>
    <n v="17.3792895845876"/>
  </r>
  <r>
    <s v="CID90"/>
    <d v="2021-12-27T00:00:00"/>
    <n v="2021"/>
    <x v="1"/>
    <x v="1"/>
    <s v="Rabi"/>
    <x v="1"/>
    <n v="12.25"/>
    <n v="16.920000000000002"/>
    <n v="1381.35"/>
    <x v="1"/>
    <x v="3"/>
    <n v="244.5"/>
    <x v="89"/>
    <s v="Black"/>
    <x v="89"/>
    <x v="71"/>
    <n v="112.76326530612243"/>
  </r>
  <r>
    <s v="CID91"/>
    <d v="2022-04-07T00:00:00"/>
    <n v="2022"/>
    <x v="1"/>
    <x v="10"/>
    <s v="Zaid"/>
    <x v="1"/>
    <n v="30.86"/>
    <n v="149.97999999999999"/>
    <n v="4860.04"/>
    <x v="0"/>
    <x v="1"/>
    <n v="65.209999999999994"/>
    <x v="90"/>
    <s v="Laterite"/>
    <x v="90"/>
    <x v="72"/>
    <n v="157.48671419313027"/>
  </r>
  <r>
    <s v="CID92"/>
    <d v="2011-10-31T00:00:00"/>
    <n v="2011"/>
    <x v="0"/>
    <x v="11"/>
    <s v="Kharif"/>
    <x v="0"/>
    <n v="61.22"/>
    <n v="85.35"/>
    <n v="1394.09"/>
    <x v="2"/>
    <x v="3"/>
    <n v="206.08"/>
    <x v="91"/>
    <s v="Alluvial"/>
    <x v="91"/>
    <x v="64"/>
    <n v="22.771806599150604"/>
  </r>
  <r>
    <s v="CID93"/>
    <d v="2018-04-30T00:00:00"/>
    <n v="2018"/>
    <x v="2"/>
    <x v="2"/>
    <s v="Zaid"/>
    <x v="3"/>
    <n v="10.82"/>
    <n v="56.38"/>
    <n v="5210.68"/>
    <x v="3"/>
    <x v="1"/>
    <n v="157.52000000000001"/>
    <x v="92"/>
    <s v="Laterite"/>
    <x v="92"/>
    <x v="59"/>
    <n v="481.57855822550835"/>
  </r>
  <r>
    <s v="CID94"/>
    <d v="2011-11-24T00:00:00"/>
    <n v="2011"/>
    <x v="3"/>
    <x v="12"/>
    <s v="Rabi"/>
    <x v="3"/>
    <n v="31.94"/>
    <n v="80.790000000000006"/>
    <n v="2529.34"/>
    <x v="3"/>
    <x v="1"/>
    <n v="221.71"/>
    <x v="93"/>
    <s v="Black"/>
    <x v="93"/>
    <x v="73"/>
    <n v="79.190356919223547"/>
  </r>
  <r>
    <s v="CID95"/>
    <d v="2021-11-14T00:00:00"/>
    <n v="2021"/>
    <x v="1"/>
    <x v="10"/>
    <s v="Rabi"/>
    <x v="4"/>
    <n v="56.08"/>
    <n v="253.41"/>
    <n v="4518.79"/>
    <x v="2"/>
    <x v="4"/>
    <n v="217.5"/>
    <x v="94"/>
    <s v="Laterite"/>
    <x v="94"/>
    <x v="74"/>
    <n v="80.577567760342376"/>
  </r>
  <r>
    <s v="CID96"/>
    <d v="2015-08-11T00:00:00"/>
    <n v="2015"/>
    <x v="5"/>
    <x v="8"/>
    <s v="Kharif"/>
    <x v="1"/>
    <n v="51.23"/>
    <n v="98.79"/>
    <n v="1928.38"/>
    <x v="1"/>
    <x v="3"/>
    <n v="106.06"/>
    <x v="95"/>
    <s v="Sandy"/>
    <x v="95"/>
    <x v="75"/>
    <n v="37.641616240484097"/>
  </r>
  <r>
    <s v="CID97"/>
    <d v="2018-04-23T00:00:00"/>
    <n v="2018"/>
    <x v="6"/>
    <x v="18"/>
    <s v="Zaid"/>
    <x v="1"/>
    <n v="67.819999999999993"/>
    <n v="294.37"/>
    <n v="4340.4399999999996"/>
    <x v="2"/>
    <x v="0"/>
    <n v="57.24"/>
    <x v="96"/>
    <s v="Alluvial"/>
    <x v="96"/>
    <x v="59"/>
    <n v="63.999410203479798"/>
  </r>
  <r>
    <s v="CID98"/>
    <d v="2019-04-22T00:00:00"/>
    <n v="2019"/>
    <x v="6"/>
    <x v="17"/>
    <s v="Zaid"/>
    <x v="3"/>
    <n v="7.89"/>
    <n v="42.97"/>
    <n v="5445.81"/>
    <x v="0"/>
    <x v="2"/>
    <n v="72.94"/>
    <x v="97"/>
    <s v="Laterite"/>
    <x v="97"/>
    <x v="38"/>
    <n v="690.21673003802289"/>
  </r>
  <r>
    <s v="CID99"/>
    <d v="2022-02-17T00:00:00"/>
    <n v="2021"/>
    <x v="2"/>
    <x v="2"/>
    <s v="Rabi"/>
    <x v="1"/>
    <n v="60.03"/>
    <n v="378.19"/>
    <n v="6300.05"/>
    <x v="3"/>
    <x v="1"/>
    <n v="89.35"/>
    <x v="98"/>
    <s v="Black"/>
    <x v="98"/>
    <x v="55"/>
    <n v="104.94835915375646"/>
  </r>
  <r>
    <s v="CID100"/>
    <d v="2017-01-18T00:00:00"/>
    <n v="2016"/>
    <x v="5"/>
    <x v="8"/>
    <s v="Rabi"/>
    <x v="4"/>
    <n v="75.739999999999995"/>
    <n v="127.46"/>
    <n v="1682.91"/>
    <x v="1"/>
    <x v="0"/>
    <n v="77.72"/>
    <x v="99"/>
    <s v="Sandy"/>
    <x v="99"/>
    <x v="76"/>
    <n v="22.219566939529972"/>
  </r>
  <r>
    <s v="CID101"/>
    <d v="2019-09-19T00:00:00"/>
    <n v="2019"/>
    <x v="6"/>
    <x v="18"/>
    <s v="Kharif"/>
    <x v="5"/>
    <n v="21.24"/>
    <n v="141.71"/>
    <n v="6671.94"/>
    <x v="3"/>
    <x v="2"/>
    <n v="241.04"/>
    <x v="100"/>
    <s v="Black"/>
    <x v="23"/>
    <x v="77"/>
    <n v="314.12146892655369"/>
  </r>
  <r>
    <s v="CID102"/>
    <d v="2018-04-30T00:00:00"/>
    <n v="2018"/>
    <x v="6"/>
    <x v="18"/>
    <s v="Zaid"/>
    <x v="4"/>
    <n v="50.53"/>
    <n v="303.19"/>
    <n v="6000.13"/>
    <x v="2"/>
    <x v="0"/>
    <n v="68.02"/>
    <x v="101"/>
    <s v="Black"/>
    <x v="100"/>
    <x v="59"/>
    <n v="118.74391450623392"/>
  </r>
  <r>
    <s v="CID103"/>
    <d v="2020-02-26T00:00:00"/>
    <n v="2019"/>
    <x v="4"/>
    <x v="16"/>
    <s v="Rabi"/>
    <x v="1"/>
    <n v="41.04"/>
    <n v="198.67"/>
    <n v="4840.8500000000004"/>
    <x v="2"/>
    <x v="4"/>
    <n v="78.790000000000006"/>
    <x v="102"/>
    <s v="Alluvial"/>
    <x v="101"/>
    <x v="78"/>
    <n v="117.95443469785576"/>
  </r>
  <r>
    <s v="CID104"/>
    <d v="2011-07-14T00:00:00"/>
    <n v="2011"/>
    <x v="1"/>
    <x v="14"/>
    <s v="Kharif"/>
    <x v="3"/>
    <n v="59.3"/>
    <n v="245.73"/>
    <n v="4143.78"/>
    <x v="1"/>
    <x v="0"/>
    <n v="267.63"/>
    <x v="103"/>
    <s v="Red"/>
    <x v="63"/>
    <x v="6"/>
    <n v="69.878246205733561"/>
  </r>
  <r>
    <s v="CID105"/>
    <d v="2011-04-10T00:00:00"/>
    <n v="2011"/>
    <x v="5"/>
    <x v="15"/>
    <s v="Zaid"/>
    <x v="1"/>
    <n v="20.2"/>
    <n v="114.28"/>
    <n v="5657.37"/>
    <x v="2"/>
    <x v="4"/>
    <n v="231.84"/>
    <x v="104"/>
    <s v="Red"/>
    <x v="102"/>
    <x v="62"/>
    <n v="280.06782178217821"/>
  </r>
  <r>
    <s v="CID106"/>
    <d v="2019-10-23T00:00:00"/>
    <n v="2019"/>
    <x v="6"/>
    <x v="17"/>
    <s v="Kharif"/>
    <x v="2"/>
    <n v="8.4600000000000009"/>
    <n v="56.75"/>
    <n v="6707.75"/>
    <x v="1"/>
    <x v="3"/>
    <n v="165.99"/>
    <x v="105"/>
    <s v="Sandy"/>
    <x v="103"/>
    <x v="79"/>
    <n v="792.87825059101647"/>
  </r>
  <r>
    <s v="CID107"/>
    <d v="2015-08-19T00:00:00"/>
    <n v="2015"/>
    <x v="2"/>
    <x v="19"/>
    <s v="Kharif"/>
    <x v="3"/>
    <n v="7.76"/>
    <n v="28.35"/>
    <n v="3653.25"/>
    <x v="2"/>
    <x v="1"/>
    <n v="249.08"/>
    <x v="106"/>
    <s v="Alluvial"/>
    <x v="104"/>
    <x v="75"/>
    <n v="470.77963917525773"/>
  </r>
  <r>
    <s v="CID108"/>
    <d v="2010-11-11T00:00:00"/>
    <n v="2010"/>
    <x v="3"/>
    <x v="3"/>
    <s v="Rabi"/>
    <x v="0"/>
    <n v="8.6"/>
    <n v="53.2"/>
    <n v="6185.5"/>
    <x v="0"/>
    <x v="1"/>
    <n v="203.75"/>
    <x v="107"/>
    <s v="Laterite"/>
    <x v="105"/>
    <x v="80"/>
    <n v="719.24418604651169"/>
  </r>
  <r>
    <s v="CID109"/>
    <d v="2020-06-22T00:00:00"/>
    <n v="2020"/>
    <x v="4"/>
    <x v="9"/>
    <s v="Kharif"/>
    <x v="0"/>
    <n v="60.9"/>
    <n v="244.1"/>
    <n v="4008.2"/>
    <x v="0"/>
    <x v="3"/>
    <n v="162.63"/>
    <x v="108"/>
    <s v="Alluvial"/>
    <x v="106"/>
    <x v="81"/>
    <n v="65.816091954022994"/>
  </r>
  <r>
    <s v="CID110"/>
    <d v="2010-08-26T00:00:00"/>
    <n v="2010"/>
    <x v="0"/>
    <x v="0"/>
    <s v="Kharif"/>
    <x v="2"/>
    <n v="44.34"/>
    <n v="161.24"/>
    <n v="3636.53"/>
    <x v="3"/>
    <x v="3"/>
    <n v="140.97"/>
    <x v="109"/>
    <s v="Laterite"/>
    <x v="107"/>
    <x v="82"/>
    <n v="82.014659449706812"/>
  </r>
  <r>
    <s v="CID111"/>
    <d v="2021-01-25T00:00:00"/>
    <n v="2020"/>
    <x v="1"/>
    <x v="10"/>
    <s v="Rabi"/>
    <x v="5"/>
    <n v="33.64"/>
    <n v="146.26"/>
    <n v="4347.78"/>
    <x v="1"/>
    <x v="0"/>
    <n v="121.04"/>
    <x v="110"/>
    <s v="Sandy"/>
    <x v="108"/>
    <x v="43"/>
    <n v="129.24435196195006"/>
  </r>
  <r>
    <s v="CID112"/>
    <d v="2013-02-05T00:00:00"/>
    <n v="2012"/>
    <x v="5"/>
    <x v="15"/>
    <s v="Rabi"/>
    <x v="0"/>
    <n v="96.8"/>
    <n v="502.48"/>
    <n v="5190.88"/>
    <x v="1"/>
    <x v="4"/>
    <n v="82.24"/>
    <x v="111"/>
    <s v="Black"/>
    <x v="109"/>
    <x v="15"/>
    <n v="53.624793388429758"/>
  </r>
  <r>
    <s v="CID113"/>
    <d v="2020-04-20T00:00:00"/>
    <n v="2020"/>
    <x v="4"/>
    <x v="4"/>
    <s v="Zaid"/>
    <x v="2"/>
    <n v="99.72"/>
    <n v="645.66"/>
    <n v="6474.69"/>
    <x v="0"/>
    <x v="2"/>
    <n v="211.51"/>
    <x v="112"/>
    <s v="Alluvial"/>
    <x v="110"/>
    <x v="56"/>
    <n v="64.928700361010826"/>
  </r>
  <r>
    <s v="CID114"/>
    <d v="2023-03-15T00:00:00"/>
    <n v="2022"/>
    <x v="6"/>
    <x v="18"/>
    <s v="Rabi"/>
    <x v="4"/>
    <n v="23.43"/>
    <n v="42.77"/>
    <n v="1825.39"/>
    <x v="0"/>
    <x v="0"/>
    <n v="123.95"/>
    <x v="113"/>
    <s v="Sandy"/>
    <x v="111"/>
    <x v="33"/>
    <n v="77.90823730260351"/>
  </r>
  <r>
    <s v="CID115"/>
    <d v="2022-04-03T00:00:00"/>
    <n v="2022"/>
    <x v="0"/>
    <x v="11"/>
    <s v="Zaid"/>
    <x v="4"/>
    <n v="60.13"/>
    <n v="115.78"/>
    <n v="1925.52"/>
    <x v="3"/>
    <x v="1"/>
    <n v="257.83999999999997"/>
    <x v="114"/>
    <s v="Red"/>
    <x v="112"/>
    <x v="72"/>
    <n v="32.022617661732909"/>
  </r>
  <r>
    <s v="CID116"/>
    <d v="2021-07-20T00:00:00"/>
    <n v="2021"/>
    <x v="2"/>
    <x v="19"/>
    <s v="Kharif"/>
    <x v="3"/>
    <n v="61.45"/>
    <n v="338.86"/>
    <n v="5514.35"/>
    <x v="1"/>
    <x v="4"/>
    <n v="108.5"/>
    <x v="115"/>
    <s v="Laterite"/>
    <x v="113"/>
    <x v="40"/>
    <n v="89.737184703010584"/>
  </r>
  <r>
    <s v="CID117"/>
    <d v="2018-01-04T00:00:00"/>
    <n v="2017"/>
    <x v="0"/>
    <x v="6"/>
    <s v="Rabi"/>
    <x v="0"/>
    <n v="78.03"/>
    <n v="313.48"/>
    <n v="4017.44"/>
    <x v="1"/>
    <x v="0"/>
    <n v="291.57"/>
    <x v="116"/>
    <s v="Sandy"/>
    <x v="114"/>
    <x v="83"/>
    <n v="51.485838779956424"/>
  </r>
  <r>
    <s v="CID118"/>
    <d v="2015-05-03T00:00:00"/>
    <n v="2015"/>
    <x v="0"/>
    <x v="11"/>
    <s v="Zaid"/>
    <x v="5"/>
    <n v="71.430000000000007"/>
    <n v="292.54000000000002"/>
    <n v="4095.46"/>
    <x v="0"/>
    <x v="2"/>
    <n v="121.27"/>
    <x v="117"/>
    <s v="Alluvial"/>
    <x v="115"/>
    <x v="84"/>
    <n v="57.335293294134111"/>
  </r>
  <r>
    <s v="CID119"/>
    <d v="2011-06-21T00:00:00"/>
    <n v="2011"/>
    <x v="4"/>
    <x v="16"/>
    <s v="Kharif"/>
    <x v="3"/>
    <n v="88.58"/>
    <n v="583.11"/>
    <n v="6582.83"/>
    <x v="1"/>
    <x v="4"/>
    <n v="63.31"/>
    <x v="118"/>
    <s v="Red"/>
    <x v="70"/>
    <x v="85"/>
    <n v="74.315082411379549"/>
  </r>
  <r>
    <s v="CID120"/>
    <d v="2015-07-06T00:00:00"/>
    <n v="2015"/>
    <x v="6"/>
    <x v="17"/>
    <s v="Kharif"/>
    <x v="2"/>
    <n v="65.349999999999994"/>
    <n v="375.65"/>
    <n v="5748.28"/>
    <x v="3"/>
    <x v="1"/>
    <n v="59.58"/>
    <x v="119"/>
    <s v="Laterite"/>
    <x v="116"/>
    <x v="23"/>
    <n v="87.961438408569251"/>
  </r>
  <r>
    <s v="CID121"/>
    <d v="2010-08-01T00:00:00"/>
    <n v="2010"/>
    <x v="3"/>
    <x v="12"/>
    <s v="Kharif"/>
    <x v="5"/>
    <n v="26.34"/>
    <n v="158.30000000000001"/>
    <n v="6009.78"/>
    <x v="1"/>
    <x v="1"/>
    <n v="77.8"/>
    <x v="120"/>
    <s v="Alluvial"/>
    <x v="117"/>
    <x v="82"/>
    <n v="228.16173120728928"/>
  </r>
  <r>
    <s v="CID122"/>
    <d v="2017-06-01T00:00:00"/>
    <n v="2017"/>
    <x v="0"/>
    <x v="6"/>
    <s v="Kharif"/>
    <x v="5"/>
    <n v="83.83"/>
    <n v="335.23"/>
    <n v="3998.98"/>
    <x v="0"/>
    <x v="3"/>
    <n v="207.99"/>
    <x v="121"/>
    <s v="Red"/>
    <x v="118"/>
    <x v="10"/>
    <n v="47.703447453179052"/>
  </r>
  <r>
    <s v="CID123"/>
    <d v="2020-03-09T00:00:00"/>
    <n v="2019"/>
    <x v="2"/>
    <x v="13"/>
    <s v="Rabi"/>
    <x v="4"/>
    <n v="66.77"/>
    <n v="101.07"/>
    <n v="1513.68"/>
    <x v="2"/>
    <x v="3"/>
    <n v="66.92"/>
    <x v="122"/>
    <s v="Sandy"/>
    <x v="86"/>
    <x v="86"/>
    <n v="22.670061404822526"/>
  </r>
  <r>
    <s v="CID124"/>
    <d v="2017-06-27T00:00:00"/>
    <n v="2017"/>
    <x v="1"/>
    <x v="14"/>
    <s v="Kharif"/>
    <x v="2"/>
    <n v="39.299999999999997"/>
    <n v="127.32"/>
    <n v="3239.81"/>
    <x v="0"/>
    <x v="3"/>
    <n v="139.27000000000001"/>
    <x v="123"/>
    <s v="Red"/>
    <x v="119"/>
    <x v="10"/>
    <n v="82.437913486005087"/>
  </r>
  <r>
    <s v="CID125"/>
    <d v="2012-07-05T00:00:00"/>
    <n v="2012"/>
    <x v="0"/>
    <x v="11"/>
    <s v="Kharif"/>
    <x v="0"/>
    <n v="55.06"/>
    <n v="323.81"/>
    <n v="5881.05"/>
    <x v="3"/>
    <x v="0"/>
    <n v="257.60000000000002"/>
    <x v="124"/>
    <s v="Laterite"/>
    <x v="120"/>
    <x v="87"/>
    <n v="106.81166000726481"/>
  </r>
  <r>
    <s v="CID126"/>
    <d v="2011-03-20T00:00:00"/>
    <n v="2010"/>
    <x v="0"/>
    <x v="11"/>
    <s v="Rabi"/>
    <x v="4"/>
    <n v="5.34"/>
    <n v="11.73"/>
    <n v="2196.8200000000002"/>
    <x v="0"/>
    <x v="1"/>
    <n v="128.9"/>
    <x v="125"/>
    <s v="Laterite"/>
    <x v="121"/>
    <x v="88"/>
    <n v="411.38951310861427"/>
  </r>
  <r>
    <s v="CID127"/>
    <d v="2022-04-28T00:00:00"/>
    <n v="2022"/>
    <x v="2"/>
    <x v="13"/>
    <s v="Zaid"/>
    <x v="4"/>
    <n v="29.32"/>
    <n v="180.99"/>
    <n v="6172.83"/>
    <x v="0"/>
    <x v="1"/>
    <n v="266.45"/>
    <x v="126"/>
    <s v="Black"/>
    <x v="122"/>
    <x v="72"/>
    <n v="210.53308321964528"/>
  </r>
  <r>
    <s v="CID128"/>
    <d v="2016-12-17T00:00:00"/>
    <n v="2016"/>
    <x v="0"/>
    <x v="11"/>
    <s v="Rabi"/>
    <x v="4"/>
    <n v="50.12"/>
    <n v="199.74"/>
    <n v="3985.14"/>
    <x v="2"/>
    <x v="3"/>
    <n v="250.29"/>
    <x v="127"/>
    <s v="Black"/>
    <x v="123"/>
    <x v="4"/>
    <n v="79.511971268954511"/>
  </r>
  <r>
    <s v="CID129"/>
    <d v="2011-08-30T00:00:00"/>
    <n v="2011"/>
    <x v="2"/>
    <x v="2"/>
    <s v="Kharif"/>
    <x v="0"/>
    <n v="66.430000000000007"/>
    <n v="188.59"/>
    <n v="2838.98"/>
    <x v="1"/>
    <x v="3"/>
    <n v="91.66"/>
    <x v="128"/>
    <s v="Laterite"/>
    <x v="124"/>
    <x v="89"/>
    <n v="42.736414270660845"/>
  </r>
  <r>
    <s v="CID130"/>
    <d v="2020-09-21T00:00:00"/>
    <n v="2020"/>
    <x v="3"/>
    <x v="5"/>
    <s v="Kharif"/>
    <x v="5"/>
    <n v="67.45"/>
    <n v="231.84"/>
    <n v="3437.26"/>
    <x v="3"/>
    <x v="0"/>
    <n v="288.2"/>
    <x v="129"/>
    <s v="Sandy"/>
    <x v="125"/>
    <x v="41"/>
    <n v="50.960118606375097"/>
  </r>
  <r>
    <s v="CID131"/>
    <d v="2013-05-19T00:00:00"/>
    <n v="2013"/>
    <x v="6"/>
    <x v="17"/>
    <s v="Zaid"/>
    <x v="0"/>
    <n v="36.85"/>
    <n v="246.78"/>
    <n v="6696.8"/>
    <x v="0"/>
    <x v="0"/>
    <n v="201.27"/>
    <x v="130"/>
    <s v="Alluvial"/>
    <x v="126"/>
    <x v="67"/>
    <n v="181.73134328358208"/>
  </r>
  <r>
    <s v="CID132"/>
    <d v="2019-03-24T00:00:00"/>
    <n v="2018"/>
    <x v="5"/>
    <x v="7"/>
    <s v="Rabi"/>
    <x v="3"/>
    <n v="32.119999999999997"/>
    <n v="85.83"/>
    <n v="2672.14"/>
    <x v="0"/>
    <x v="0"/>
    <n v="56.48"/>
    <x v="131"/>
    <s v="Sandy"/>
    <x v="127"/>
    <x v="90"/>
    <n v="83.192403486924036"/>
  </r>
  <r>
    <s v="CID133"/>
    <d v="2022-02-22T00:00:00"/>
    <n v="2021"/>
    <x v="2"/>
    <x v="2"/>
    <s v="Rabi"/>
    <x v="4"/>
    <n v="99.64"/>
    <n v="270.37"/>
    <n v="2713.46"/>
    <x v="1"/>
    <x v="0"/>
    <n v="100.04"/>
    <x v="132"/>
    <s v="Black"/>
    <x v="89"/>
    <x v="55"/>
    <n v="27.232637494981937"/>
  </r>
  <r>
    <s v="CID134"/>
    <d v="2015-05-03T00:00:00"/>
    <n v="2015"/>
    <x v="4"/>
    <x v="9"/>
    <s v="Zaid"/>
    <x v="0"/>
    <n v="71.239999999999995"/>
    <n v="306.33"/>
    <n v="4299.9799999999996"/>
    <x v="2"/>
    <x v="2"/>
    <n v="272.83"/>
    <x v="133"/>
    <s v="Red"/>
    <x v="128"/>
    <x v="84"/>
    <n v="60.35906793935991"/>
  </r>
  <r>
    <s v="CID135"/>
    <d v="2022-06-23T00:00:00"/>
    <n v="2022"/>
    <x v="1"/>
    <x v="1"/>
    <s v="Kharif"/>
    <x v="4"/>
    <n v="79.25"/>
    <n v="91.75"/>
    <n v="1157.7"/>
    <x v="2"/>
    <x v="0"/>
    <n v="166.85"/>
    <x v="134"/>
    <s v="Red"/>
    <x v="129"/>
    <x v="24"/>
    <n v="14.60820189274448"/>
  </r>
  <r>
    <s v="CID136"/>
    <d v="2021-05-14T00:00:00"/>
    <n v="2021"/>
    <x v="2"/>
    <x v="2"/>
    <s v="Zaid"/>
    <x v="3"/>
    <n v="53.04"/>
    <n v="297.82"/>
    <n v="5614.99"/>
    <x v="0"/>
    <x v="3"/>
    <n v="81.33"/>
    <x v="135"/>
    <s v="Black"/>
    <x v="130"/>
    <x v="91"/>
    <n v="105.86331070889894"/>
  </r>
  <r>
    <s v="CID137"/>
    <d v="2022-05-04T00:00:00"/>
    <n v="2022"/>
    <x v="2"/>
    <x v="13"/>
    <s v="Zaid"/>
    <x v="2"/>
    <n v="59.19"/>
    <n v="331.86"/>
    <n v="5606.69"/>
    <x v="3"/>
    <x v="2"/>
    <n v="158.15"/>
    <x v="136"/>
    <s v="Black"/>
    <x v="131"/>
    <x v="11"/>
    <n v="94.7236019597905"/>
  </r>
  <r>
    <s v="CID138"/>
    <d v="2013-01-17T00:00:00"/>
    <n v="2012"/>
    <x v="2"/>
    <x v="13"/>
    <s v="Rabi"/>
    <x v="2"/>
    <n v="23.32"/>
    <n v="155.88999999999999"/>
    <n v="6684.9"/>
    <x v="2"/>
    <x v="3"/>
    <n v="261.48"/>
    <x v="137"/>
    <s v="Sandy"/>
    <x v="77"/>
    <x v="20"/>
    <n v="286.65951972555746"/>
  </r>
  <r>
    <s v="CID139"/>
    <d v="2018-05-30T00:00:00"/>
    <n v="2018"/>
    <x v="5"/>
    <x v="7"/>
    <s v="Zaid"/>
    <x v="4"/>
    <n v="59.59"/>
    <n v="267.19"/>
    <n v="4483.88"/>
    <x v="3"/>
    <x v="3"/>
    <n v="214.68"/>
    <x v="138"/>
    <s v="Sandy"/>
    <x v="132"/>
    <x v="92"/>
    <n v="75.245510991777138"/>
  </r>
  <r>
    <s v="CID140"/>
    <d v="2011-10-18T00:00:00"/>
    <n v="2011"/>
    <x v="1"/>
    <x v="1"/>
    <s v="Kharif"/>
    <x v="2"/>
    <n v="77.33"/>
    <n v="200.13"/>
    <n v="2587.94"/>
    <x v="3"/>
    <x v="4"/>
    <n v="241.74"/>
    <x v="139"/>
    <s v="Black"/>
    <x v="133"/>
    <x v="64"/>
    <n v="33.466183887236518"/>
  </r>
  <r>
    <s v="CID141"/>
    <d v="2017-07-07T00:00:00"/>
    <n v="2017"/>
    <x v="0"/>
    <x v="11"/>
    <s v="Kharif"/>
    <x v="2"/>
    <n v="41.2"/>
    <n v="153.32"/>
    <n v="3721.26"/>
    <x v="0"/>
    <x v="4"/>
    <n v="89.52"/>
    <x v="140"/>
    <s v="Laterite"/>
    <x v="134"/>
    <x v="25"/>
    <n v="90.321844660194174"/>
  </r>
  <r>
    <s v="CID142"/>
    <d v="2015-04-18T00:00:00"/>
    <n v="2015"/>
    <x v="4"/>
    <x v="9"/>
    <s v="Zaid"/>
    <x v="0"/>
    <n v="97.56"/>
    <n v="174.11"/>
    <n v="1784.6"/>
    <x v="2"/>
    <x v="1"/>
    <n v="178.75"/>
    <x v="141"/>
    <s v="Red"/>
    <x v="135"/>
    <x v="93"/>
    <n v="18.292332923329234"/>
  </r>
  <r>
    <s v="CID143"/>
    <d v="2011-10-26T00:00:00"/>
    <n v="2011"/>
    <x v="6"/>
    <x v="17"/>
    <s v="Kharif"/>
    <x v="0"/>
    <n v="94.59"/>
    <n v="585.04"/>
    <n v="6184.98"/>
    <x v="1"/>
    <x v="4"/>
    <n v="112.07"/>
    <x v="142"/>
    <s v="Red"/>
    <x v="136"/>
    <x v="64"/>
    <n v="65.387250237868685"/>
  </r>
  <r>
    <s v="CID144"/>
    <d v="2017-04-14T00:00:00"/>
    <n v="2017"/>
    <x v="6"/>
    <x v="17"/>
    <s v="Zaid"/>
    <x v="3"/>
    <n v="50.38"/>
    <n v="143.65"/>
    <n v="2851.24"/>
    <x v="0"/>
    <x v="3"/>
    <n v="72.510000000000005"/>
    <x v="143"/>
    <s v="Laterite"/>
    <x v="137"/>
    <x v="17"/>
    <n v="56.594680428741555"/>
  </r>
  <r>
    <s v="CID145"/>
    <d v="2011-01-07T00:00:00"/>
    <n v="2010"/>
    <x v="2"/>
    <x v="13"/>
    <s v="Rabi"/>
    <x v="3"/>
    <n v="60.15"/>
    <n v="364.33"/>
    <n v="6057.1"/>
    <x v="1"/>
    <x v="4"/>
    <n v="121.44"/>
    <x v="144"/>
    <s v="Black"/>
    <x v="123"/>
    <x v="94"/>
    <n v="100.69991687448048"/>
  </r>
  <r>
    <s v="CID146"/>
    <d v="2015-10-19T00:00:00"/>
    <n v="2015"/>
    <x v="4"/>
    <x v="16"/>
    <s v="Kharif"/>
    <x v="3"/>
    <n v="6.06"/>
    <n v="26.49"/>
    <n v="4370.8999999999996"/>
    <x v="2"/>
    <x v="4"/>
    <n v="188.31"/>
    <x v="145"/>
    <s v="Sandy"/>
    <x v="138"/>
    <x v="19"/>
    <n v="721.27062706270624"/>
  </r>
  <r>
    <s v="CID147"/>
    <d v="2020-04-13T00:00:00"/>
    <n v="2020"/>
    <x v="4"/>
    <x v="9"/>
    <s v="Zaid"/>
    <x v="5"/>
    <n v="13.74"/>
    <n v="21.71"/>
    <n v="1580.09"/>
    <x v="2"/>
    <x v="3"/>
    <n v="248.72"/>
    <x v="146"/>
    <s v="Alluvial"/>
    <x v="139"/>
    <x v="56"/>
    <n v="114.99927219796214"/>
  </r>
  <r>
    <s v="CID148"/>
    <d v="2018-08-21T00:00:00"/>
    <n v="2018"/>
    <x v="5"/>
    <x v="8"/>
    <s v="Kharif"/>
    <x v="5"/>
    <n v="4.8499999999999996"/>
    <n v="25.62"/>
    <n v="5281.55"/>
    <x v="1"/>
    <x v="2"/>
    <n v="179.83"/>
    <x v="147"/>
    <s v="Sandy"/>
    <x v="140"/>
    <x v="63"/>
    <n v="1088.9793814432992"/>
  </r>
  <r>
    <s v="CID149"/>
    <d v="2021-11-29T00:00:00"/>
    <n v="2021"/>
    <x v="3"/>
    <x v="12"/>
    <s v="Rabi"/>
    <x v="1"/>
    <n v="34.299999999999997"/>
    <n v="204.76"/>
    <n v="5969.74"/>
    <x v="1"/>
    <x v="1"/>
    <n v="227.18"/>
    <x v="148"/>
    <s v="Black"/>
    <x v="141"/>
    <x v="74"/>
    <n v="174.04489795918369"/>
  </r>
  <r>
    <s v="CID150"/>
    <d v="2022-05-17T00:00:00"/>
    <n v="2022"/>
    <x v="5"/>
    <x v="8"/>
    <s v="Zaid"/>
    <x v="2"/>
    <n v="63.3"/>
    <n v="290.01"/>
    <n v="4581.46"/>
    <x v="2"/>
    <x v="0"/>
    <n v="291.77"/>
    <x v="149"/>
    <s v="Sandy"/>
    <x v="142"/>
    <x v="11"/>
    <n v="72.376935229067939"/>
  </r>
  <r>
    <s v="CID151"/>
    <d v="2012-05-15T00:00:00"/>
    <n v="2012"/>
    <x v="5"/>
    <x v="8"/>
    <s v="Zaid"/>
    <x v="2"/>
    <n v="72.400000000000006"/>
    <n v="408.89"/>
    <n v="5647.64"/>
    <x v="1"/>
    <x v="0"/>
    <n v="86.94"/>
    <x v="150"/>
    <s v="Black"/>
    <x v="143"/>
    <x v="7"/>
    <n v="78.006077348066299"/>
  </r>
  <r>
    <s v="CID152"/>
    <d v="2017-11-16T00:00:00"/>
    <n v="2017"/>
    <x v="6"/>
    <x v="17"/>
    <s v="Rabi"/>
    <x v="3"/>
    <n v="15.99"/>
    <n v="82.24"/>
    <n v="5143"/>
    <x v="1"/>
    <x v="2"/>
    <n v="175.45"/>
    <x v="151"/>
    <s v="Laterite"/>
    <x v="144"/>
    <x v="54"/>
    <n v="321.63852407754848"/>
  </r>
  <r>
    <s v="CID153"/>
    <d v="2019-01-07T00:00:00"/>
    <n v="2018"/>
    <x v="5"/>
    <x v="7"/>
    <s v="Rabi"/>
    <x v="2"/>
    <n v="48.36"/>
    <n v="157.69999999999999"/>
    <n v="3260.95"/>
    <x v="3"/>
    <x v="3"/>
    <n v="164.92"/>
    <x v="152"/>
    <s v="Sandy"/>
    <x v="145"/>
    <x v="95"/>
    <n v="67.430727874276258"/>
  </r>
  <r>
    <s v="CID154"/>
    <d v="2014-01-29T00:00:00"/>
    <n v="2013"/>
    <x v="3"/>
    <x v="3"/>
    <s v="Rabi"/>
    <x v="1"/>
    <n v="30.55"/>
    <n v="203.12"/>
    <n v="6648.91"/>
    <x v="2"/>
    <x v="3"/>
    <n v="242.79"/>
    <x v="153"/>
    <s v="Laterite"/>
    <x v="146"/>
    <x v="44"/>
    <n v="217.64026186579378"/>
  </r>
  <r>
    <s v="CID155"/>
    <d v="2015-01-13T00:00:00"/>
    <n v="2014"/>
    <x v="4"/>
    <x v="9"/>
    <s v="Rabi"/>
    <x v="5"/>
    <n v="57.77"/>
    <n v="246.05"/>
    <n v="4259.1499999999996"/>
    <x v="1"/>
    <x v="0"/>
    <n v="254.59"/>
    <x v="154"/>
    <s v="Red"/>
    <x v="147"/>
    <x v="96"/>
    <n v="73.725982343777034"/>
  </r>
  <r>
    <s v="CID156"/>
    <d v="2021-03-31T00:00:00"/>
    <n v="2020"/>
    <x v="2"/>
    <x v="2"/>
    <s v="Rabi"/>
    <x v="2"/>
    <n v="48.43"/>
    <n v="107.15"/>
    <n v="2212.41"/>
    <x v="2"/>
    <x v="2"/>
    <n v="283.26"/>
    <x v="155"/>
    <s v="Red"/>
    <x v="148"/>
    <x v="34"/>
    <n v="45.682634730538922"/>
  </r>
  <r>
    <s v="CID157"/>
    <d v="2020-05-06T00:00:00"/>
    <n v="2020"/>
    <x v="6"/>
    <x v="17"/>
    <s v="Zaid"/>
    <x v="4"/>
    <n v="64.16"/>
    <n v="84.37"/>
    <n v="1314.95"/>
    <x v="1"/>
    <x v="2"/>
    <n v="132.57"/>
    <x v="156"/>
    <s v="Red"/>
    <x v="149"/>
    <x v="28"/>
    <n v="20.494856608478806"/>
  </r>
  <r>
    <s v="CID158"/>
    <d v="2017-12-30T00:00:00"/>
    <n v="2017"/>
    <x v="3"/>
    <x v="12"/>
    <s v="Rabi"/>
    <x v="2"/>
    <n v="20.75"/>
    <n v="140.76"/>
    <n v="6783.48"/>
    <x v="2"/>
    <x v="3"/>
    <n v="121.35"/>
    <x v="157"/>
    <s v="Black"/>
    <x v="150"/>
    <x v="97"/>
    <n v="326.9146987951807"/>
  </r>
  <r>
    <s v="CID159"/>
    <d v="2010-08-14T00:00:00"/>
    <n v="2010"/>
    <x v="0"/>
    <x v="6"/>
    <s v="Kharif"/>
    <x v="3"/>
    <n v="88.34"/>
    <n v="181.51"/>
    <n v="2054.73"/>
    <x v="0"/>
    <x v="0"/>
    <n v="299.29000000000002"/>
    <x v="158"/>
    <s v="Laterite"/>
    <x v="151"/>
    <x v="82"/>
    <n v="23.259338917817523"/>
  </r>
  <r>
    <s v="CID160"/>
    <d v="2019-04-09T00:00:00"/>
    <n v="2019"/>
    <x v="1"/>
    <x v="14"/>
    <s v="Zaid"/>
    <x v="5"/>
    <n v="92.92"/>
    <n v="279.70999999999998"/>
    <n v="3010.25"/>
    <x v="1"/>
    <x v="3"/>
    <n v="297.27"/>
    <x v="159"/>
    <s v="Laterite"/>
    <x v="152"/>
    <x v="38"/>
    <n v="32.396147223417991"/>
  </r>
  <r>
    <s v="CID161"/>
    <d v="2013-10-24T00:00:00"/>
    <n v="2013"/>
    <x v="3"/>
    <x v="5"/>
    <s v="Kharif"/>
    <x v="0"/>
    <n v="17.09"/>
    <n v="64.150000000000006"/>
    <n v="3753.49"/>
    <x v="2"/>
    <x v="2"/>
    <n v="229.65"/>
    <x v="160"/>
    <s v="Alluvial"/>
    <x v="153"/>
    <x v="32"/>
    <n v="219.63077823288472"/>
  </r>
  <r>
    <s v="CID162"/>
    <d v="2020-11-02T00:00:00"/>
    <n v="2020"/>
    <x v="6"/>
    <x v="20"/>
    <s v="Rabi"/>
    <x v="3"/>
    <n v="52.01"/>
    <n v="79.08"/>
    <n v="1520.43"/>
    <x v="0"/>
    <x v="4"/>
    <n v="96.2"/>
    <x v="161"/>
    <s v="Alluvial"/>
    <x v="154"/>
    <x v="98"/>
    <n v="29.233416650644109"/>
  </r>
  <r>
    <s v="CID163"/>
    <d v="2017-12-01T00:00:00"/>
    <n v="2017"/>
    <x v="3"/>
    <x v="3"/>
    <s v="Rabi"/>
    <x v="0"/>
    <n v="30.89"/>
    <n v="164.87"/>
    <n v="5337.3"/>
    <x v="0"/>
    <x v="1"/>
    <n v="115.39"/>
    <x v="162"/>
    <s v="Red"/>
    <x v="40"/>
    <x v="97"/>
    <n v="172.78407251537715"/>
  </r>
  <r>
    <s v="CID164"/>
    <d v="2016-04-15T00:00:00"/>
    <n v="2016"/>
    <x v="2"/>
    <x v="13"/>
    <s v="Zaid"/>
    <x v="1"/>
    <n v="92.39"/>
    <n v="584.53"/>
    <n v="6326.81"/>
    <x v="2"/>
    <x v="2"/>
    <n v="222.57"/>
    <x v="163"/>
    <s v="Alluvial"/>
    <x v="95"/>
    <x v="99"/>
    <n v="68.479380885377211"/>
  </r>
  <r>
    <s v="CID165"/>
    <d v="2012-11-21T00:00:00"/>
    <n v="2012"/>
    <x v="6"/>
    <x v="18"/>
    <s v="Rabi"/>
    <x v="2"/>
    <n v="98.89"/>
    <n v="320.58"/>
    <n v="3241.75"/>
    <x v="1"/>
    <x v="3"/>
    <n v="239.34"/>
    <x v="164"/>
    <s v="Red"/>
    <x v="155"/>
    <x v="5"/>
    <n v="32.781373242997269"/>
  </r>
  <r>
    <s v="CID166"/>
    <d v="2022-02-22T00:00:00"/>
    <n v="2021"/>
    <x v="3"/>
    <x v="12"/>
    <s v="Rabi"/>
    <x v="5"/>
    <n v="91.81"/>
    <n v="153.62"/>
    <n v="1673.25"/>
    <x v="3"/>
    <x v="0"/>
    <n v="193.18"/>
    <x v="165"/>
    <s v="Alluvial"/>
    <x v="156"/>
    <x v="55"/>
    <n v="18.225138873761029"/>
  </r>
  <r>
    <s v="CID167"/>
    <d v="2021-05-06T00:00:00"/>
    <n v="2021"/>
    <x v="0"/>
    <x v="0"/>
    <s v="Zaid"/>
    <x v="3"/>
    <n v="10"/>
    <n v="40.619999999999997"/>
    <n v="4062.25"/>
    <x v="0"/>
    <x v="1"/>
    <n v="163.36000000000001"/>
    <x v="166"/>
    <s v="Laterite"/>
    <x v="157"/>
    <x v="91"/>
    <n v="406.22500000000002"/>
  </r>
  <r>
    <s v="CID168"/>
    <d v="2021-10-17T00:00:00"/>
    <n v="2021"/>
    <x v="0"/>
    <x v="11"/>
    <s v="Kharif"/>
    <x v="3"/>
    <n v="26.19"/>
    <n v="26.66"/>
    <n v="1018.09"/>
    <x v="3"/>
    <x v="0"/>
    <n v="194.58"/>
    <x v="167"/>
    <s v="Alluvial"/>
    <x v="158"/>
    <x v="36"/>
    <n v="38.873234058801067"/>
  </r>
  <r>
    <s v="CID169"/>
    <d v="2011-02-05T00:00:00"/>
    <n v="2010"/>
    <x v="1"/>
    <x v="14"/>
    <s v="Rabi"/>
    <x v="3"/>
    <n v="18.82"/>
    <n v="34.11"/>
    <n v="1812.57"/>
    <x v="1"/>
    <x v="1"/>
    <n v="143.62"/>
    <x v="168"/>
    <s v="Laterite"/>
    <x v="159"/>
    <x v="100"/>
    <n v="96.310839532412317"/>
  </r>
  <r>
    <s v="CID170"/>
    <d v="2020-04-15T00:00:00"/>
    <n v="2020"/>
    <x v="1"/>
    <x v="10"/>
    <s v="Zaid"/>
    <x v="4"/>
    <n v="65.7"/>
    <n v="202.79"/>
    <n v="3086.62"/>
    <x v="3"/>
    <x v="0"/>
    <n v="298.20999999999998"/>
    <x v="169"/>
    <s v="Red"/>
    <x v="160"/>
    <x v="56"/>
    <n v="46.980517503805174"/>
  </r>
  <r>
    <s v="CID171"/>
    <d v="2014-12-19T00:00:00"/>
    <n v="2014"/>
    <x v="4"/>
    <x v="4"/>
    <s v="Rabi"/>
    <x v="2"/>
    <n v="72.19"/>
    <n v="255.9"/>
    <n v="3544.77"/>
    <x v="1"/>
    <x v="0"/>
    <n v="255.84"/>
    <x v="170"/>
    <s v="Alluvial"/>
    <x v="161"/>
    <x v="18"/>
    <n v="49.103338412522511"/>
  </r>
  <r>
    <s v="CID172"/>
    <d v="2016-04-03T00:00:00"/>
    <n v="2016"/>
    <x v="1"/>
    <x v="10"/>
    <s v="Zaid"/>
    <x v="5"/>
    <n v="24.83"/>
    <n v="34.86"/>
    <n v="1403.75"/>
    <x v="0"/>
    <x v="1"/>
    <n v="161.61000000000001"/>
    <x v="171"/>
    <s v="Black"/>
    <x v="162"/>
    <x v="99"/>
    <n v="56.534434152235207"/>
  </r>
  <r>
    <s v="CID173"/>
    <d v="2018-08-22T00:00:00"/>
    <n v="2018"/>
    <x v="3"/>
    <x v="3"/>
    <s v="Kharif"/>
    <x v="5"/>
    <n v="14.87"/>
    <n v="103.51"/>
    <n v="6960.9"/>
    <x v="3"/>
    <x v="2"/>
    <n v="253.95"/>
    <x v="172"/>
    <s v="Alluvial"/>
    <x v="142"/>
    <x v="63"/>
    <n v="468.1170141223941"/>
  </r>
  <r>
    <s v="CID174"/>
    <d v="2020-04-23T00:00:00"/>
    <n v="2020"/>
    <x v="2"/>
    <x v="13"/>
    <s v="Zaid"/>
    <x v="4"/>
    <n v="41.94"/>
    <n v="111.18"/>
    <n v="2650.92"/>
    <x v="3"/>
    <x v="1"/>
    <n v="206.5"/>
    <x v="173"/>
    <s v="Laterite"/>
    <x v="163"/>
    <x v="56"/>
    <n v="63.207439198855511"/>
  </r>
  <r>
    <s v="CID175"/>
    <d v="2015-05-16T00:00:00"/>
    <n v="2015"/>
    <x v="4"/>
    <x v="9"/>
    <s v="Zaid"/>
    <x v="3"/>
    <n v="41.42"/>
    <n v="115.95"/>
    <n v="2799.33"/>
    <x v="3"/>
    <x v="2"/>
    <n v="238.6"/>
    <x v="174"/>
    <s v="Red"/>
    <x v="164"/>
    <x v="84"/>
    <n v="67.584017382906808"/>
  </r>
  <r>
    <s v="CID176"/>
    <d v="2010-05-30T00:00:00"/>
    <n v="2010"/>
    <x v="4"/>
    <x v="16"/>
    <s v="Zaid"/>
    <x v="3"/>
    <n v="96.81"/>
    <n v="420.52"/>
    <n v="4343.72"/>
    <x v="3"/>
    <x v="1"/>
    <n v="147.1"/>
    <x v="175"/>
    <s v="Alluvial"/>
    <x v="165"/>
    <x v="61"/>
    <n v="44.868505319698379"/>
  </r>
  <r>
    <s v="CID177"/>
    <d v="2011-05-19T00:00:00"/>
    <n v="2011"/>
    <x v="4"/>
    <x v="16"/>
    <s v="Zaid"/>
    <x v="2"/>
    <n v="83.11"/>
    <n v="108.81"/>
    <n v="1309.22"/>
    <x v="1"/>
    <x v="3"/>
    <n v="218.42"/>
    <x v="176"/>
    <s v="Black"/>
    <x v="166"/>
    <x v="8"/>
    <n v="15.752857658524848"/>
  </r>
  <r>
    <s v="CID178"/>
    <d v="2018-07-01T00:00:00"/>
    <n v="2018"/>
    <x v="0"/>
    <x v="6"/>
    <s v="Kharif"/>
    <x v="3"/>
    <n v="21.68"/>
    <n v="139.66999999999999"/>
    <n v="6442.2"/>
    <x v="2"/>
    <x v="1"/>
    <n v="289.25"/>
    <x v="177"/>
    <s v="Red"/>
    <x v="167"/>
    <x v="13"/>
    <n v="297.14944649446494"/>
  </r>
  <r>
    <s v="CID179"/>
    <d v="2019-04-20T00:00:00"/>
    <n v="2019"/>
    <x v="6"/>
    <x v="20"/>
    <s v="Zaid"/>
    <x v="4"/>
    <n v="40.270000000000003"/>
    <n v="98.1"/>
    <n v="2435.9899999999998"/>
    <x v="2"/>
    <x v="4"/>
    <n v="243.88"/>
    <x v="178"/>
    <s v="Sandy"/>
    <x v="168"/>
    <x v="38"/>
    <n v="60.491432828408236"/>
  </r>
  <r>
    <s v="CID180"/>
    <d v="2017-12-27T00:00:00"/>
    <n v="2017"/>
    <x v="2"/>
    <x v="19"/>
    <s v="Rabi"/>
    <x v="5"/>
    <n v="80.48"/>
    <n v="429.32"/>
    <n v="5334.48"/>
    <x v="2"/>
    <x v="2"/>
    <n v="278.58"/>
    <x v="179"/>
    <s v="Laterite"/>
    <x v="169"/>
    <x v="97"/>
    <n v="66.283300198807154"/>
  </r>
  <r>
    <s v="CID181"/>
    <d v="2018-05-12T00:00:00"/>
    <n v="2018"/>
    <x v="1"/>
    <x v="14"/>
    <s v="Zaid"/>
    <x v="1"/>
    <n v="72.28"/>
    <n v="200.3"/>
    <n v="2771.15"/>
    <x v="3"/>
    <x v="4"/>
    <n v="132.47"/>
    <x v="180"/>
    <s v="Red"/>
    <x v="170"/>
    <x v="92"/>
    <n v="38.339097952407307"/>
  </r>
  <r>
    <s v="CID182"/>
    <d v="2021-05-27T00:00:00"/>
    <n v="2021"/>
    <x v="2"/>
    <x v="2"/>
    <s v="Zaid"/>
    <x v="2"/>
    <n v="49.57"/>
    <n v="99.61"/>
    <n v="2009.4"/>
    <x v="2"/>
    <x v="3"/>
    <n v="92.32"/>
    <x v="181"/>
    <s v="Laterite"/>
    <x v="171"/>
    <x v="91"/>
    <n v="40.536614888037121"/>
  </r>
  <r>
    <s v="CID183"/>
    <d v="2018-07-09T00:00:00"/>
    <n v="2018"/>
    <x v="0"/>
    <x v="0"/>
    <s v="Kharif"/>
    <x v="5"/>
    <n v="94.57"/>
    <n v="473.73"/>
    <n v="5009.29"/>
    <x v="0"/>
    <x v="0"/>
    <n v="153.1"/>
    <x v="182"/>
    <s v="Red"/>
    <x v="172"/>
    <x v="13"/>
    <n v="52.969123400655604"/>
  </r>
  <r>
    <s v="CID184"/>
    <d v="2017-11-04T00:00:00"/>
    <n v="2017"/>
    <x v="6"/>
    <x v="20"/>
    <s v="Rabi"/>
    <x v="5"/>
    <n v="62.17"/>
    <n v="310.88"/>
    <n v="5000.53"/>
    <x v="1"/>
    <x v="0"/>
    <n v="214.82"/>
    <x v="183"/>
    <s v="Sandy"/>
    <x v="173"/>
    <x v="54"/>
    <n v="80.433167122406303"/>
  </r>
  <r>
    <s v="CID185"/>
    <d v="2014-05-04T00:00:00"/>
    <n v="2014"/>
    <x v="5"/>
    <x v="15"/>
    <s v="Zaid"/>
    <x v="0"/>
    <n v="2.7"/>
    <n v="15.87"/>
    <n v="5878.94"/>
    <x v="1"/>
    <x v="2"/>
    <n v="251.54"/>
    <x v="184"/>
    <s v="Black"/>
    <x v="174"/>
    <x v="58"/>
    <n v="2177.385185185185"/>
  </r>
  <r>
    <s v="CID186"/>
    <d v="2019-05-15T00:00:00"/>
    <n v="2019"/>
    <x v="6"/>
    <x v="17"/>
    <s v="Zaid"/>
    <x v="0"/>
    <n v="81.709999999999994"/>
    <n v="212.77"/>
    <n v="2603.9499999999998"/>
    <x v="1"/>
    <x v="2"/>
    <n v="69.75"/>
    <x v="185"/>
    <s v="Laterite"/>
    <x v="175"/>
    <x v="51"/>
    <n v="31.868192387712643"/>
  </r>
  <r>
    <s v="CID187"/>
    <d v="2011-04-06T00:00:00"/>
    <n v="2011"/>
    <x v="2"/>
    <x v="19"/>
    <s v="Zaid"/>
    <x v="2"/>
    <n v="76.2"/>
    <n v="118.95"/>
    <n v="1561"/>
    <x v="1"/>
    <x v="1"/>
    <n v="144.29"/>
    <x v="186"/>
    <s v="Black"/>
    <x v="176"/>
    <x v="62"/>
    <n v="20.485564304461942"/>
  </r>
  <r>
    <s v="CID188"/>
    <d v="2020-11-12T00:00:00"/>
    <n v="2020"/>
    <x v="4"/>
    <x v="16"/>
    <s v="Rabi"/>
    <x v="1"/>
    <n v="97.76"/>
    <n v="668.98"/>
    <n v="6843.04"/>
    <x v="0"/>
    <x v="0"/>
    <n v="107.44"/>
    <x v="187"/>
    <s v="Sandy"/>
    <x v="177"/>
    <x v="98"/>
    <n v="69.998363338788863"/>
  </r>
  <r>
    <s v="CID189"/>
    <d v="2018-05-16T00:00:00"/>
    <n v="2018"/>
    <x v="0"/>
    <x v="11"/>
    <s v="Zaid"/>
    <x v="2"/>
    <n v="4.26"/>
    <n v="28"/>
    <n v="6572.6"/>
    <x v="2"/>
    <x v="1"/>
    <n v="53.91"/>
    <x v="188"/>
    <s v="Red"/>
    <x v="178"/>
    <x v="92"/>
    <n v="1542.8638497652585"/>
  </r>
  <r>
    <s v="CID190"/>
    <d v="2012-04-23T00:00:00"/>
    <n v="2012"/>
    <x v="1"/>
    <x v="14"/>
    <s v="Zaid"/>
    <x v="4"/>
    <n v="57.1"/>
    <n v="348.12"/>
    <n v="6096.65"/>
    <x v="2"/>
    <x v="0"/>
    <n v="145.96"/>
    <x v="189"/>
    <s v="Black"/>
    <x v="179"/>
    <x v="101"/>
    <n v="106.77145359019264"/>
  </r>
  <r>
    <s v="CID191"/>
    <d v="2013-09-24T00:00:00"/>
    <n v="2013"/>
    <x v="1"/>
    <x v="14"/>
    <s v="Kharif"/>
    <x v="0"/>
    <n v="60.91"/>
    <n v="285.25"/>
    <n v="4683.1899999999996"/>
    <x v="1"/>
    <x v="1"/>
    <n v="292.23"/>
    <x v="190"/>
    <s v="Alluvial"/>
    <x v="180"/>
    <x v="102"/>
    <n v="76.887046461993108"/>
  </r>
  <r>
    <s v="CID192"/>
    <d v="2018-11-22T00:00:00"/>
    <n v="2018"/>
    <x v="6"/>
    <x v="18"/>
    <s v="Rabi"/>
    <x v="3"/>
    <n v="19.39"/>
    <n v="87.55"/>
    <n v="4515.25"/>
    <x v="1"/>
    <x v="4"/>
    <n v="71.42"/>
    <x v="191"/>
    <s v="Red"/>
    <x v="181"/>
    <x v="3"/>
    <n v="232.86487880350697"/>
  </r>
  <r>
    <s v="CID193"/>
    <d v="2021-04-18T00:00:00"/>
    <n v="2021"/>
    <x v="6"/>
    <x v="18"/>
    <s v="Zaid"/>
    <x v="4"/>
    <n v="74.23"/>
    <n v="215.27"/>
    <n v="2900.07"/>
    <x v="0"/>
    <x v="0"/>
    <n v="72.88"/>
    <x v="192"/>
    <s v="Laterite"/>
    <x v="182"/>
    <x v="16"/>
    <n v="39.068705375185232"/>
  </r>
  <r>
    <s v="CID194"/>
    <d v="2013-01-23T00:00:00"/>
    <n v="2012"/>
    <x v="6"/>
    <x v="17"/>
    <s v="Rabi"/>
    <x v="3"/>
    <n v="56.14"/>
    <n v="228.75"/>
    <n v="4074.65"/>
    <x v="0"/>
    <x v="1"/>
    <n v="56.57"/>
    <x v="193"/>
    <s v="Black"/>
    <x v="183"/>
    <x v="20"/>
    <n v="72.580156750979697"/>
  </r>
  <r>
    <s v="CID195"/>
    <d v="2017-01-08T00:00:00"/>
    <n v="2016"/>
    <x v="1"/>
    <x v="14"/>
    <s v="Rabi"/>
    <x v="5"/>
    <n v="72.760000000000005"/>
    <n v="317.02999999999997"/>
    <n v="4357.22"/>
    <x v="3"/>
    <x v="4"/>
    <n v="192.99"/>
    <x v="194"/>
    <s v="Laterite"/>
    <x v="184"/>
    <x v="76"/>
    <n v="59.884826827927434"/>
  </r>
  <r>
    <s v="CID196"/>
    <d v="2012-10-05T00:00:00"/>
    <n v="2012"/>
    <x v="2"/>
    <x v="2"/>
    <s v="Kharif"/>
    <x v="4"/>
    <n v="44.03"/>
    <n v="155.28"/>
    <n v="3526.61"/>
    <x v="1"/>
    <x v="3"/>
    <n v="245.67"/>
    <x v="195"/>
    <s v="Red"/>
    <x v="185"/>
    <x v="2"/>
    <n v="80.095616625028384"/>
  </r>
  <r>
    <s v="CID197"/>
    <d v="2017-09-19T00:00:00"/>
    <n v="2017"/>
    <x v="5"/>
    <x v="7"/>
    <s v="Kharif"/>
    <x v="4"/>
    <n v="31.16"/>
    <n v="208.55"/>
    <n v="6692.94"/>
    <x v="2"/>
    <x v="3"/>
    <n v="260.39999999999998"/>
    <x v="196"/>
    <s v="Alluvial"/>
    <x v="186"/>
    <x v="103"/>
    <n v="214.79268292682926"/>
  </r>
  <r>
    <s v="CID198"/>
    <d v="2015-05-21T00:00:00"/>
    <n v="2015"/>
    <x v="6"/>
    <x v="18"/>
    <s v="Zaid"/>
    <x v="2"/>
    <n v="20.88"/>
    <n v="60.24"/>
    <n v="2885.1"/>
    <x v="1"/>
    <x v="2"/>
    <n v="292.18"/>
    <x v="197"/>
    <s v="Laterite"/>
    <x v="187"/>
    <x v="84"/>
    <n v="138.17528735632183"/>
  </r>
  <r>
    <s v="CID199"/>
    <d v="2014-12-24T00:00:00"/>
    <n v="2014"/>
    <x v="2"/>
    <x v="2"/>
    <s v="Rabi"/>
    <x v="0"/>
    <n v="12.27"/>
    <n v="53.78"/>
    <n v="4383.1000000000004"/>
    <x v="3"/>
    <x v="1"/>
    <n v="220.43"/>
    <x v="198"/>
    <s v="Laterite"/>
    <x v="188"/>
    <x v="18"/>
    <n v="357.22086389568057"/>
  </r>
  <r>
    <s v="CID200"/>
    <d v="2021-06-19T00:00:00"/>
    <n v="2021"/>
    <x v="4"/>
    <x v="16"/>
    <s v="Kharif"/>
    <x v="3"/>
    <n v="67.62"/>
    <n v="124.09"/>
    <n v="1835.07"/>
    <x v="2"/>
    <x v="1"/>
    <n v="110.51"/>
    <x v="199"/>
    <s v="Laterite"/>
    <x v="189"/>
    <x v="12"/>
    <n v="27.137976929902393"/>
  </r>
  <r>
    <s v="CID201"/>
    <d v="2020-03-17T00:00:00"/>
    <n v="2019"/>
    <x v="5"/>
    <x v="8"/>
    <s v="Rabi"/>
    <x v="1"/>
    <n v="51.15"/>
    <n v="333.62"/>
    <n v="6522.35"/>
    <x v="1"/>
    <x v="3"/>
    <n v="185.91"/>
    <x v="200"/>
    <s v="Alluvial"/>
    <x v="190"/>
    <x v="86"/>
    <n v="127.51417399804498"/>
  </r>
  <r>
    <s v="CID202"/>
    <d v="2011-08-24T00:00:00"/>
    <n v="2011"/>
    <x v="0"/>
    <x v="0"/>
    <s v="Kharif"/>
    <x v="2"/>
    <n v="66.8"/>
    <n v="133.47"/>
    <n v="1998.03"/>
    <x v="0"/>
    <x v="1"/>
    <n v="190.81"/>
    <x v="201"/>
    <s v="Laterite"/>
    <x v="137"/>
    <x v="89"/>
    <n v="29.91062874251497"/>
  </r>
  <r>
    <s v="CID203"/>
    <d v="2011-12-09T00:00:00"/>
    <n v="2011"/>
    <x v="1"/>
    <x v="1"/>
    <s v="Rabi"/>
    <x v="4"/>
    <n v="51.56"/>
    <n v="212.06"/>
    <n v="4112.79"/>
    <x v="3"/>
    <x v="4"/>
    <n v="161.44"/>
    <x v="202"/>
    <s v="Sandy"/>
    <x v="191"/>
    <x v="104"/>
    <n v="79.767067494181532"/>
  </r>
  <r>
    <s v="CID204"/>
    <d v="2012-01-29T00:00:00"/>
    <n v="2011"/>
    <x v="1"/>
    <x v="14"/>
    <s v="Rabi"/>
    <x v="3"/>
    <n v="92.13"/>
    <n v="139.59"/>
    <n v="1515.13"/>
    <x v="3"/>
    <x v="1"/>
    <n v="137.08000000000001"/>
    <x v="203"/>
    <s v="Red"/>
    <x v="192"/>
    <x v="26"/>
    <n v="16.445566047975689"/>
  </r>
  <r>
    <s v="CID205"/>
    <d v="2021-04-11T00:00:00"/>
    <n v="2021"/>
    <x v="1"/>
    <x v="14"/>
    <s v="Zaid"/>
    <x v="3"/>
    <n v="32.57"/>
    <n v="91.25"/>
    <n v="2801.58"/>
    <x v="0"/>
    <x v="2"/>
    <n v="55.65"/>
    <x v="204"/>
    <s v="Black"/>
    <x v="33"/>
    <x v="16"/>
    <n v="86.017193736567393"/>
  </r>
  <r>
    <s v="CID206"/>
    <d v="2018-09-19T00:00:00"/>
    <n v="2018"/>
    <x v="5"/>
    <x v="7"/>
    <s v="Kharif"/>
    <x v="0"/>
    <n v="56.43"/>
    <n v="380.95"/>
    <n v="6750.78"/>
    <x v="3"/>
    <x v="1"/>
    <n v="249.44"/>
    <x v="205"/>
    <s v="Red"/>
    <x v="193"/>
    <x v="22"/>
    <n v="119.63104731525783"/>
  </r>
  <r>
    <s v="CID207"/>
    <d v="2019-10-16T00:00:00"/>
    <n v="2019"/>
    <x v="1"/>
    <x v="10"/>
    <s v="Kharif"/>
    <x v="3"/>
    <n v="59.63"/>
    <n v="198.75"/>
    <n v="3333.01"/>
    <x v="3"/>
    <x v="2"/>
    <n v="101.45"/>
    <x v="206"/>
    <s v="Black"/>
    <x v="142"/>
    <x v="79"/>
    <n v="55.894851584772766"/>
  </r>
  <r>
    <s v="CID208"/>
    <d v="2014-01-30T00:00:00"/>
    <n v="2013"/>
    <x v="2"/>
    <x v="2"/>
    <s v="Rabi"/>
    <x v="5"/>
    <n v="26.97"/>
    <n v="166.56"/>
    <n v="6175.82"/>
    <x v="2"/>
    <x v="1"/>
    <n v="199.24"/>
    <x v="207"/>
    <s v="Sandy"/>
    <x v="194"/>
    <x v="44"/>
    <n v="228.98850574712642"/>
  </r>
  <r>
    <s v="CID209"/>
    <d v="2020-05-15T00:00:00"/>
    <n v="2020"/>
    <x v="5"/>
    <x v="7"/>
    <s v="Zaid"/>
    <x v="0"/>
    <n v="91.95"/>
    <n v="417.55"/>
    <n v="4541.01"/>
    <x v="3"/>
    <x v="2"/>
    <n v="128.30000000000001"/>
    <x v="208"/>
    <s v="Black"/>
    <x v="195"/>
    <x v="28"/>
    <n v="49.385644371941275"/>
  </r>
  <r>
    <s v="CID210"/>
    <d v="2016-05-02T00:00:00"/>
    <n v="2016"/>
    <x v="5"/>
    <x v="8"/>
    <s v="Zaid"/>
    <x v="4"/>
    <n v="57.91"/>
    <n v="204.9"/>
    <n v="3538.23"/>
    <x v="1"/>
    <x v="4"/>
    <n v="208.88"/>
    <x v="209"/>
    <s v="Red"/>
    <x v="196"/>
    <x v="30"/>
    <n v="61.098773959592478"/>
  </r>
  <r>
    <s v="CID211"/>
    <d v="2016-03-09T00:00:00"/>
    <n v="2015"/>
    <x v="6"/>
    <x v="17"/>
    <s v="Rabi"/>
    <x v="1"/>
    <n v="6.31"/>
    <n v="19.899999999999999"/>
    <n v="3154.24"/>
    <x v="0"/>
    <x v="1"/>
    <n v="171.15"/>
    <x v="210"/>
    <s v="Laterite"/>
    <x v="197"/>
    <x v="105"/>
    <n v="499.87955625990492"/>
  </r>
  <r>
    <s v="CID212"/>
    <d v="2018-01-10T00:00:00"/>
    <n v="2017"/>
    <x v="3"/>
    <x v="12"/>
    <s v="Rabi"/>
    <x v="2"/>
    <n v="84.15"/>
    <n v="330.89"/>
    <n v="3932.2"/>
    <x v="0"/>
    <x v="2"/>
    <n v="191.35"/>
    <x v="211"/>
    <s v="Red"/>
    <x v="198"/>
    <x v="83"/>
    <n v="46.728461081402251"/>
  </r>
  <r>
    <s v="CID213"/>
    <d v="2013-02-02T00:00:00"/>
    <n v="2012"/>
    <x v="5"/>
    <x v="8"/>
    <s v="Rabi"/>
    <x v="1"/>
    <n v="74.510000000000005"/>
    <n v="416.92"/>
    <n v="5595.52"/>
    <x v="0"/>
    <x v="3"/>
    <n v="193.18"/>
    <x v="212"/>
    <s v="Sandy"/>
    <x v="199"/>
    <x v="15"/>
    <n v="75.097570795866332"/>
  </r>
  <r>
    <s v="CID214"/>
    <d v="2022-04-03T00:00:00"/>
    <n v="2022"/>
    <x v="4"/>
    <x v="4"/>
    <s v="Zaid"/>
    <x v="3"/>
    <n v="55.09"/>
    <n v="382.25"/>
    <n v="6938.65"/>
    <x v="0"/>
    <x v="1"/>
    <n v="234"/>
    <x v="213"/>
    <s v="Red"/>
    <x v="200"/>
    <x v="72"/>
    <n v="125.95117081139951"/>
  </r>
  <r>
    <s v="CID215"/>
    <d v="2011-12-06T00:00:00"/>
    <n v="2011"/>
    <x v="2"/>
    <x v="2"/>
    <s v="Rabi"/>
    <x v="5"/>
    <n v="77.790000000000006"/>
    <n v="188.38"/>
    <n v="2421.6799999999998"/>
    <x v="2"/>
    <x v="2"/>
    <n v="265.26"/>
    <x v="214"/>
    <s v="Laterite"/>
    <x v="201"/>
    <x v="104"/>
    <n v="31.130993700989841"/>
  </r>
  <r>
    <s v="CID216"/>
    <d v="2022-10-10T00:00:00"/>
    <n v="2022"/>
    <x v="4"/>
    <x v="4"/>
    <s v="Kharif"/>
    <x v="1"/>
    <n v="35.729999999999997"/>
    <n v="95.99"/>
    <n v="2686.51"/>
    <x v="3"/>
    <x v="0"/>
    <n v="130.91"/>
    <x v="215"/>
    <s v="Alluvial"/>
    <x v="143"/>
    <x v="106"/>
    <n v="75.189196753428504"/>
  </r>
  <r>
    <s v="CID217"/>
    <d v="2011-02-09T00:00:00"/>
    <n v="2010"/>
    <x v="6"/>
    <x v="18"/>
    <s v="Rabi"/>
    <x v="2"/>
    <n v="13.56"/>
    <n v="84.02"/>
    <n v="6196.47"/>
    <x v="3"/>
    <x v="1"/>
    <n v="86.56"/>
    <x v="216"/>
    <s v="Red"/>
    <x v="202"/>
    <x v="100"/>
    <n v="456.96681415929203"/>
  </r>
  <r>
    <s v="CID218"/>
    <d v="2021-03-05T00:00:00"/>
    <n v="2020"/>
    <x v="6"/>
    <x v="20"/>
    <s v="Rabi"/>
    <x v="2"/>
    <n v="42.01"/>
    <n v="155.94"/>
    <n v="3711.95"/>
    <x v="0"/>
    <x v="4"/>
    <n v="150.71"/>
    <x v="217"/>
    <s v="Alluvial"/>
    <x v="203"/>
    <x v="34"/>
    <n v="88.358724113306351"/>
  </r>
  <r>
    <s v="CID219"/>
    <d v="2022-04-28T00:00:00"/>
    <n v="2022"/>
    <x v="5"/>
    <x v="7"/>
    <s v="Zaid"/>
    <x v="5"/>
    <n v="73.36"/>
    <n v="275.14999999999998"/>
    <n v="3750.7"/>
    <x v="2"/>
    <x v="2"/>
    <n v="262.52999999999997"/>
    <x v="218"/>
    <s v="Laterite"/>
    <x v="204"/>
    <x v="72"/>
    <n v="51.1273173391494"/>
  </r>
  <r>
    <s v="CID220"/>
    <d v="2016-02-26T00:00:00"/>
    <n v="2015"/>
    <x v="3"/>
    <x v="5"/>
    <s v="Rabi"/>
    <x v="0"/>
    <n v="55.18"/>
    <n v="98.42"/>
    <n v="1783.57"/>
    <x v="1"/>
    <x v="0"/>
    <n v="247.08"/>
    <x v="219"/>
    <s v="Black"/>
    <x v="169"/>
    <x v="107"/>
    <n v="32.322761870242843"/>
  </r>
  <r>
    <s v="CID221"/>
    <d v="2018-02-01T00:00:00"/>
    <n v="2017"/>
    <x v="1"/>
    <x v="1"/>
    <s v="Rabi"/>
    <x v="5"/>
    <n v="99.19"/>
    <n v="353.79"/>
    <n v="3566.8"/>
    <x v="3"/>
    <x v="4"/>
    <n v="270.54000000000002"/>
    <x v="220"/>
    <s v="Alluvial"/>
    <x v="205"/>
    <x v="108"/>
    <n v="35.959270087710458"/>
  </r>
  <r>
    <s v="CID222"/>
    <d v="2020-05-01T00:00:00"/>
    <n v="2020"/>
    <x v="1"/>
    <x v="14"/>
    <s v="Zaid"/>
    <x v="4"/>
    <n v="6.13"/>
    <n v="29.14"/>
    <n v="4753.63"/>
    <x v="3"/>
    <x v="0"/>
    <n v="157.31"/>
    <x v="221"/>
    <s v="Black"/>
    <x v="206"/>
    <x v="28"/>
    <n v="775.46982055464935"/>
  </r>
  <r>
    <s v="CID223"/>
    <d v="2013-05-01T00:00:00"/>
    <n v="2013"/>
    <x v="6"/>
    <x v="20"/>
    <s v="Zaid"/>
    <x v="2"/>
    <n v="45.06"/>
    <n v="47.24"/>
    <n v="1048.3800000000001"/>
    <x v="2"/>
    <x v="0"/>
    <n v="254.28"/>
    <x v="222"/>
    <s v="Laterite"/>
    <x v="207"/>
    <x v="67"/>
    <n v="23.266311584553929"/>
  </r>
  <r>
    <s v="CID224"/>
    <d v="2011-05-14T00:00:00"/>
    <n v="2011"/>
    <x v="6"/>
    <x v="18"/>
    <s v="Zaid"/>
    <x v="5"/>
    <n v="11.22"/>
    <n v="35.96"/>
    <n v="3205.37"/>
    <x v="2"/>
    <x v="2"/>
    <n v="84.28"/>
    <x v="223"/>
    <s v="Red"/>
    <x v="208"/>
    <x v="8"/>
    <n v="285.68360071301242"/>
  </r>
  <r>
    <s v="CID225"/>
    <d v="2019-09-22T00:00:00"/>
    <n v="2019"/>
    <x v="1"/>
    <x v="10"/>
    <s v="Kharif"/>
    <x v="1"/>
    <n v="65.349999999999994"/>
    <n v="237.91"/>
    <n v="3640.6"/>
    <x v="3"/>
    <x v="2"/>
    <n v="207.02"/>
    <x v="224"/>
    <s v="Laterite"/>
    <x v="209"/>
    <x v="77"/>
    <n v="55.709257842387153"/>
  </r>
  <r>
    <s v="CID226"/>
    <d v="2012-08-03T00:00:00"/>
    <n v="2012"/>
    <x v="1"/>
    <x v="1"/>
    <s v="Kharif"/>
    <x v="1"/>
    <n v="73.27"/>
    <n v="227.81"/>
    <n v="3109.21"/>
    <x v="1"/>
    <x v="3"/>
    <n v="128.63"/>
    <x v="225"/>
    <s v="Alluvial"/>
    <x v="210"/>
    <x v="109"/>
    <n v="42.434966562030844"/>
  </r>
  <r>
    <s v="CID227"/>
    <d v="2021-04-19T00:00:00"/>
    <n v="2021"/>
    <x v="5"/>
    <x v="15"/>
    <s v="Zaid"/>
    <x v="0"/>
    <n v="78.12"/>
    <n v="401.76"/>
    <n v="5142.8599999999997"/>
    <x v="2"/>
    <x v="0"/>
    <n v="101.36"/>
    <x v="226"/>
    <s v="Red"/>
    <x v="211"/>
    <x v="16"/>
    <n v="65.832821300563225"/>
  </r>
  <r>
    <s v="CID228"/>
    <d v="2017-12-04T00:00:00"/>
    <n v="2017"/>
    <x v="4"/>
    <x v="4"/>
    <s v="Rabi"/>
    <x v="5"/>
    <n v="24.87"/>
    <n v="120.08"/>
    <n v="4828.49"/>
    <x v="0"/>
    <x v="1"/>
    <n v="182.07"/>
    <x v="227"/>
    <s v="Alluvial"/>
    <x v="212"/>
    <x v="97"/>
    <n v="194.14917571371129"/>
  </r>
  <r>
    <s v="CID229"/>
    <d v="2016-11-16T00:00:00"/>
    <n v="2016"/>
    <x v="4"/>
    <x v="9"/>
    <s v="Rabi"/>
    <x v="1"/>
    <n v="68.61"/>
    <n v="382.59"/>
    <n v="5576.36"/>
    <x v="0"/>
    <x v="1"/>
    <n v="54.17"/>
    <x v="228"/>
    <s v="Alluvial"/>
    <x v="213"/>
    <x v="110"/>
    <n v="81.276198804838941"/>
  </r>
  <r>
    <s v="CID230"/>
    <d v="2020-04-06T00:00:00"/>
    <n v="2020"/>
    <x v="5"/>
    <x v="8"/>
    <s v="Zaid"/>
    <x v="1"/>
    <n v="76.94"/>
    <n v="272.48"/>
    <n v="3541.45"/>
    <x v="1"/>
    <x v="4"/>
    <n v="70.61"/>
    <x v="229"/>
    <s v="Sandy"/>
    <x v="214"/>
    <x v="56"/>
    <n v="46.028723680790222"/>
  </r>
  <r>
    <s v="CID231"/>
    <d v="2013-06-23T00:00:00"/>
    <n v="2013"/>
    <x v="1"/>
    <x v="10"/>
    <s v="Kharif"/>
    <x v="1"/>
    <n v="33.35"/>
    <n v="150.69999999999999"/>
    <n v="4518.62"/>
    <x v="0"/>
    <x v="1"/>
    <n v="127.54"/>
    <x v="230"/>
    <s v="Red"/>
    <x v="215"/>
    <x v="111"/>
    <n v="135.49085457271363"/>
  </r>
  <r>
    <s v="CID232"/>
    <d v="2019-05-31T00:00:00"/>
    <n v="2019"/>
    <x v="1"/>
    <x v="14"/>
    <s v="Zaid"/>
    <x v="5"/>
    <n v="31.62"/>
    <n v="172.33"/>
    <n v="5450.16"/>
    <x v="3"/>
    <x v="4"/>
    <n v="79.86"/>
    <x v="231"/>
    <s v="Black"/>
    <x v="216"/>
    <x v="51"/>
    <n v="172.36432637571156"/>
  </r>
  <r>
    <s v="CID233"/>
    <d v="2022-04-28T00:00:00"/>
    <n v="2022"/>
    <x v="5"/>
    <x v="15"/>
    <s v="Zaid"/>
    <x v="0"/>
    <n v="17.53"/>
    <n v="30.88"/>
    <n v="1761.58"/>
    <x v="2"/>
    <x v="4"/>
    <n v="233.23"/>
    <x v="232"/>
    <s v="Black"/>
    <x v="217"/>
    <x v="72"/>
    <n v="100.48944666286366"/>
  </r>
  <r>
    <s v="CID234"/>
    <d v="2014-04-17T00:00:00"/>
    <n v="2014"/>
    <x v="5"/>
    <x v="7"/>
    <s v="Zaid"/>
    <x v="1"/>
    <n v="63.13"/>
    <n v="251.06"/>
    <n v="3976.89"/>
    <x v="2"/>
    <x v="0"/>
    <n v="63.86"/>
    <x v="233"/>
    <s v="Red"/>
    <x v="218"/>
    <x v="31"/>
    <n v="62.99524790115634"/>
  </r>
  <r>
    <s v="CID235"/>
    <d v="2021-07-16T00:00:00"/>
    <n v="2021"/>
    <x v="5"/>
    <x v="15"/>
    <s v="Kharif"/>
    <x v="4"/>
    <n v="74.34"/>
    <n v="75.489999999999995"/>
    <n v="1015.41"/>
    <x v="0"/>
    <x v="0"/>
    <n v="111.14"/>
    <x v="234"/>
    <s v="Laterite"/>
    <x v="219"/>
    <x v="40"/>
    <n v="13.658999192897497"/>
  </r>
  <r>
    <s v="CID236"/>
    <d v="2021-05-14T00:00:00"/>
    <n v="2021"/>
    <x v="5"/>
    <x v="15"/>
    <s v="Zaid"/>
    <x v="3"/>
    <n v="23.23"/>
    <n v="57.83"/>
    <n v="2489.58"/>
    <x v="2"/>
    <x v="0"/>
    <n v="117.81"/>
    <x v="235"/>
    <s v="Alluvial"/>
    <x v="220"/>
    <x v="91"/>
    <n v="107.17089969866551"/>
  </r>
  <r>
    <s v="CID237"/>
    <d v="2022-05-06T00:00:00"/>
    <n v="2022"/>
    <x v="6"/>
    <x v="17"/>
    <s v="Zaid"/>
    <x v="5"/>
    <n v="95.45"/>
    <n v="134.91999999999999"/>
    <n v="1413.56"/>
    <x v="1"/>
    <x v="1"/>
    <n v="266.51"/>
    <x v="236"/>
    <s v="Alluvial"/>
    <x v="221"/>
    <x v="11"/>
    <n v="14.809429020429544"/>
  </r>
  <r>
    <s v="CID238"/>
    <d v="2013-12-21T00:00:00"/>
    <n v="2013"/>
    <x v="1"/>
    <x v="14"/>
    <s v="Rabi"/>
    <x v="1"/>
    <n v="78.67"/>
    <n v="427.76"/>
    <n v="5437.46"/>
    <x v="3"/>
    <x v="3"/>
    <n v="165.98"/>
    <x v="237"/>
    <s v="Laterite"/>
    <x v="222"/>
    <x v="112"/>
    <n v="69.117325537053517"/>
  </r>
  <r>
    <s v="CID239"/>
    <d v="2012-08-18T00:00:00"/>
    <n v="2012"/>
    <x v="4"/>
    <x v="4"/>
    <s v="Kharif"/>
    <x v="3"/>
    <n v="3.37"/>
    <n v="14.32"/>
    <n v="4249.2700000000004"/>
    <x v="0"/>
    <x v="0"/>
    <n v="287.75"/>
    <x v="238"/>
    <s v="Laterite"/>
    <x v="223"/>
    <x v="109"/>
    <n v="1260.9109792284867"/>
  </r>
  <r>
    <s v="CID240"/>
    <d v="2014-03-14T00:00:00"/>
    <n v="2013"/>
    <x v="6"/>
    <x v="20"/>
    <s v="Rabi"/>
    <x v="3"/>
    <n v="96.16"/>
    <n v="657.29"/>
    <n v="6835.36"/>
    <x v="3"/>
    <x v="1"/>
    <n v="227.91"/>
    <x v="239"/>
    <s v="Red"/>
    <x v="224"/>
    <x v="37"/>
    <n v="71.083194675540767"/>
  </r>
  <r>
    <s v="CID241"/>
    <d v="2017-04-09T00:00:00"/>
    <n v="2017"/>
    <x v="0"/>
    <x v="11"/>
    <s v="Zaid"/>
    <x v="5"/>
    <n v="58.5"/>
    <n v="235.91"/>
    <n v="4032.57"/>
    <x v="1"/>
    <x v="2"/>
    <n v="68.709999999999994"/>
    <x v="240"/>
    <s v="Laterite"/>
    <x v="225"/>
    <x v="17"/>
    <n v="68.932820512820513"/>
  </r>
  <r>
    <s v="CID242"/>
    <d v="2016-03-29T00:00:00"/>
    <n v="2015"/>
    <x v="2"/>
    <x v="2"/>
    <s v="Rabi"/>
    <x v="2"/>
    <n v="83.36"/>
    <n v="246.54"/>
    <n v="2957.51"/>
    <x v="1"/>
    <x v="0"/>
    <n v="117.99"/>
    <x v="241"/>
    <s v="Red"/>
    <x v="226"/>
    <x v="105"/>
    <n v="35.47876679462572"/>
  </r>
  <r>
    <s v="CID243"/>
    <d v="2012-12-01T00:00:00"/>
    <n v="2012"/>
    <x v="6"/>
    <x v="17"/>
    <s v="Rabi"/>
    <x v="3"/>
    <n v="32.090000000000003"/>
    <n v="55.34"/>
    <n v="1724.42"/>
    <x v="2"/>
    <x v="0"/>
    <n v="291.16000000000003"/>
    <x v="242"/>
    <s v="Alluvial"/>
    <x v="227"/>
    <x v="113"/>
    <n v="53.736989716422556"/>
  </r>
  <r>
    <s v="CID244"/>
    <d v="2014-04-04T00:00:00"/>
    <n v="2014"/>
    <x v="6"/>
    <x v="20"/>
    <s v="Zaid"/>
    <x v="2"/>
    <n v="60.73"/>
    <n v="139.08000000000001"/>
    <n v="2290.12"/>
    <x v="2"/>
    <x v="4"/>
    <n v="87.08"/>
    <x v="243"/>
    <s v="Alluvial"/>
    <x v="228"/>
    <x v="31"/>
    <n v="37.709863329491192"/>
  </r>
  <r>
    <s v="CID245"/>
    <d v="2010-11-16T00:00:00"/>
    <n v="2010"/>
    <x v="2"/>
    <x v="13"/>
    <s v="Rabi"/>
    <x v="3"/>
    <n v="56.04"/>
    <n v="241.01"/>
    <n v="4300.7299999999996"/>
    <x v="0"/>
    <x v="2"/>
    <n v="165.51"/>
    <x v="244"/>
    <s v="Red"/>
    <x v="229"/>
    <x v="80"/>
    <n v="76.743932905067808"/>
  </r>
  <r>
    <s v="CID246"/>
    <d v="2017-02-22T00:00:00"/>
    <n v="2016"/>
    <x v="6"/>
    <x v="17"/>
    <s v="Rabi"/>
    <x v="2"/>
    <n v="63.4"/>
    <n v="308.64"/>
    <n v="4868.1099999999997"/>
    <x v="2"/>
    <x v="2"/>
    <n v="279.36"/>
    <x v="245"/>
    <s v="Black"/>
    <x v="230"/>
    <x v="27"/>
    <n v="76.784069400630912"/>
  </r>
  <r>
    <s v="CID247"/>
    <d v="2011-09-18T00:00:00"/>
    <n v="2011"/>
    <x v="1"/>
    <x v="14"/>
    <s v="Kharif"/>
    <x v="3"/>
    <n v="6.01"/>
    <n v="39.33"/>
    <n v="6544.79"/>
    <x v="1"/>
    <x v="2"/>
    <n v="255.42"/>
    <x v="246"/>
    <s v="Black"/>
    <x v="231"/>
    <x v="114"/>
    <n v="1088.9833610648918"/>
  </r>
  <r>
    <s v="CID248"/>
    <d v="2012-11-23T00:00:00"/>
    <n v="2012"/>
    <x v="2"/>
    <x v="13"/>
    <s v="Rabi"/>
    <x v="0"/>
    <n v="45.16"/>
    <n v="85.43"/>
    <n v="1891.79"/>
    <x v="3"/>
    <x v="4"/>
    <n v="211.82"/>
    <x v="247"/>
    <s v="Sandy"/>
    <x v="232"/>
    <x v="5"/>
    <n v="41.890832595217006"/>
  </r>
  <r>
    <s v="CID249"/>
    <d v="2016-10-03T00:00:00"/>
    <n v="2016"/>
    <x v="3"/>
    <x v="3"/>
    <s v="Kharif"/>
    <x v="2"/>
    <n v="88.58"/>
    <n v="368.04"/>
    <n v="4154.88"/>
    <x v="0"/>
    <x v="4"/>
    <n v="297.35000000000002"/>
    <x v="248"/>
    <s v="Alluvial"/>
    <x v="233"/>
    <x v="14"/>
    <n v="46.905396251975617"/>
  </r>
  <r>
    <s v="CID250"/>
    <d v="2016-02-29T00:00:00"/>
    <n v="2015"/>
    <x v="5"/>
    <x v="15"/>
    <s v="Rabi"/>
    <x v="0"/>
    <n v="18.8"/>
    <n v="54.77"/>
    <n v="2913.27"/>
    <x v="3"/>
    <x v="3"/>
    <n v="57.33"/>
    <x v="249"/>
    <s v="Alluvial"/>
    <x v="234"/>
    <x v="107"/>
    <n v="154.96117021276595"/>
  </r>
  <r>
    <s v="CID251"/>
    <d v="2013-09-08T00:00:00"/>
    <n v="2013"/>
    <x v="2"/>
    <x v="19"/>
    <s v="Kharif"/>
    <x v="5"/>
    <n v="25.54"/>
    <n v="62.49"/>
    <n v="2446.92"/>
    <x v="0"/>
    <x v="4"/>
    <n v="241.01"/>
    <x v="250"/>
    <s v="Sandy"/>
    <x v="235"/>
    <x v="102"/>
    <n v="95.807361002349268"/>
  </r>
  <r>
    <s v="CID252"/>
    <d v="2012-10-23T00:00:00"/>
    <n v="2012"/>
    <x v="4"/>
    <x v="4"/>
    <s v="Kharif"/>
    <x v="1"/>
    <n v="32.479999999999997"/>
    <n v="176.32"/>
    <n v="5428.63"/>
    <x v="2"/>
    <x v="2"/>
    <n v="278.5"/>
    <x v="251"/>
    <s v="Alluvial"/>
    <x v="236"/>
    <x v="2"/>
    <n v="167.13762315270938"/>
  </r>
  <r>
    <s v="CID253"/>
    <d v="2022-11-01T00:00:00"/>
    <n v="2022"/>
    <x v="5"/>
    <x v="7"/>
    <s v="Rabi"/>
    <x v="1"/>
    <n v="31.6"/>
    <n v="124.59"/>
    <n v="3942.62"/>
    <x v="0"/>
    <x v="4"/>
    <n v="64.040000000000006"/>
    <x v="252"/>
    <s v="Black"/>
    <x v="237"/>
    <x v="115"/>
    <n v="124.76645569620253"/>
  </r>
  <r>
    <s v="CID254"/>
    <d v="2022-10-13T00:00:00"/>
    <n v="2022"/>
    <x v="5"/>
    <x v="7"/>
    <s v="Kharif"/>
    <x v="0"/>
    <n v="71.98"/>
    <n v="468.78"/>
    <n v="6512.68"/>
    <x v="2"/>
    <x v="4"/>
    <n v="64.89"/>
    <x v="253"/>
    <s v="Red"/>
    <x v="238"/>
    <x v="106"/>
    <n v="90.479021950541821"/>
  </r>
  <r>
    <s v="CID255"/>
    <d v="2021-05-02T00:00:00"/>
    <n v="2021"/>
    <x v="1"/>
    <x v="14"/>
    <s v="Zaid"/>
    <x v="3"/>
    <n v="59.02"/>
    <n v="178.2"/>
    <n v="3019.37"/>
    <x v="2"/>
    <x v="4"/>
    <n v="84.11"/>
    <x v="254"/>
    <s v="Laterite"/>
    <x v="239"/>
    <x v="91"/>
    <n v="51.158420874279898"/>
  </r>
  <r>
    <s v="CID256"/>
    <d v="2018-05-17T00:00:00"/>
    <n v="2018"/>
    <x v="6"/>
    <x v="20"/>
    <s v="Zaid"/>
    <x v="1"/>
    <n v="78.91"/>
    <n v="184.6"/>
    <n v="2339.42"/>
    <x v="3"/>
    <x v="0"/>
    <n v="144.6"/>
    <x v="255"/>
    <s v="Alluvial"/>
    <x v="240"/>
    <x v="92"/>
    <n v="29.64668609808643"/>
  </r>
  <r>
    <s v="CID257"/>
    <d v="2016-05-18T00:00:00"/>
    <n v="2016"/>
    <x v="0"/>
    <x v="6"/>
    <s v="Zaid"/>
    <x v="5"/>
    <n v="19.03"/>
    <n v="55.36"/>
    <n v="2909.3"/>
    <x v="3"/>
    <x v="0"/>
    <n v="209.91"/>
    <x v="256"/>
    <s v="Laterite"/>
    <x v="241"/>
    <x v="30"/>
    <n v="152.87966368891225"/>
  </r>
  <r>
    <s v="CID258"/>
    <d v="2015-08-29T00:00:00"/>
    <n v="2015"/>
    <x v="6"/>
    <x v="18"/>
    <s v="Kharif"/>
    <x v="2"/>
    <n v="88.65"/>
    <n v="135.84"/>
    <n v="1532.36"/>
    <x v="2"/>
    <x v="4"/>
    <n v="161.66"/>
    <x v="257"/>
    <s v="Red"/>
    <x v="242"/>
    <x v="75"/>
    <n v="17.285504794134233"/>
  </r>
  <r>
    <s v="CID259"/>
    <d v="2021-09-05T00:00:00"/>
    <n v="2021"/>
    <x v="4"/>
    <x v="4"/>
    <s v="Kharif"/>
    <x v="5"/>
    <n v="39.21"/>
    <n v="211.56"/>
    <n v="5395.51"/>
    <x v="3"/>
    <x v="0"/>
    <n v="271.14"/>
    <x v="258"/>
    <s v="Laterite"/>
    <x v="243"/>
    <x v="116"/>
    <n v="137.60545779137976"/>
  </r>
  <r>
    <s v="CID260"/>
    <d v="2022-04-17T00:00:00"/>
    <n v="2022"/>
    <x v="4"/>
    <x v="16"/>
    <s v="Zaid"/>
    <x v="2"/>
    <n v="76.069999999999993"/>
    <n v="179.03"/>
    <n v="2353.5"/>
    <x v="1"/>
    <x v="0"/>
    <n v="68.430000000000007"/>
    <x v="259"/>
    <s v="Alluvial"/>
    <x v="244"/>
    <x v="72"/>
    <n v="30.938609175759172"/>
  </r>
  <r>
    <s v="CID261"/>
    <d v="2013-02-19T00:00:00"/>
    <n v="2012"/>
    <x v="1"/>
    <x v="14"/>
    <s v="Rabi"/>
    <x v="4"/>
    <n v="73.47"/>
    <n v="314.62"/>
    <n v="4282.28"/>
    <x v="0"/>
    <x v="2"/>
    <n v="134.49"/>
    <x v="260"/>
    <s v="Laterite"/>
    <x v="245"/>
    <x v="15"/>
    <n v="58.286103171362456"/>
  </r>
  <r>
    <s v="CID262"/>
    <d v="2012-08-12T00:00:00"/>
    <n v="2012"/>
    <x v="5"/>
    <x v="8"/>
    <s v="Kharif"/>
    <x v="5"/>
    <n v="33.78"/>
    <n v="231.27"/>
    <n v="6846.39"/>
    <x v="1"/>
    <x v="4"/>
    <n v="224.3"/>
    <x v="261"/>
    <s v="Sandy"/>
    <x v="18"/>
    <x v="109"/>
    <n v="202.67584369449378"/>
  </r>
  <r>
    <s v="CID263"/>
    <d v="2011-03-03T00:00:00"/>
    <n v="2010"/>
    <x v="6"/>
    <x v="17"/>
    <s v="Rabi"/>
    <x v="1"/>
    <n v="55.42"/>
    <n v="218.67"/>
    <n v="3945.69"/>
    <x v="0"/>
    <x v="2"/>
    <n v="140.21"/>
    <x v="262"/>
    <s v="Alluvial"/>
    <x v="246"/>
    <x v="88"/>
    <n v="71.196138578130643"/>
  </r>
  <r>
    <s v="CID264"/>
    <d v="2013-08-07T00:00:00"/>
    <n v="2013"/>
    <x v="1"/>
    <x v="1"/>
    <s v="Kharif"/>
    <x v="2"/>
    <n v="29.89"/>
    <n v="44.58"/>
    <n v="1491.62"/>
    <x v="0"/>
    <x v="0"/>
    <n v="127.09"/>
    <x v="263"/>
    <s v="Laterite"/>
    <x v="247"/>
    <x v="117"/>
    <n v="49.903646704583466"/>
  </r>
  <r>
    <s v="CID265"/>
    <d v="2016-08-08T00:00:00"/>
    <n v="2016"/>
    <x v="0"/>
    <x v="6"/>
    <s v="Kharif"/>
    <x v="0"/>
    <n v="88.66"/>
    <n v="285.17"/>
    <n v="3216.41"/>
    <x v="1"/>
    <x v="3"/>
    <n v="61.15"/>
    <x v="264"/>
    <s v="Alluvial"/>
    <x v="248"/>
    <x v="118"/>
    <n v="36.27802842318971"/>
  </r>
  <r>
    <s v="CID266"/>
    <d v="2022-04-25T00:00:00"/>
    <n v="2022"/>
    <x v="1"/>
    <x v="1"/>
    <s v="Zaid"/>
    <x v="2"/>
    <n v="10.57"/>
    <n v="52.94"/>
    <n v="5008.8500000000004"/>
    <x v="1"/>
    <x v="3"/>
    <n v="292.68"/>
    <x v="265"/>
    <s v="Sandy"/>
    <x v="19"/>
    <x v="72"/>
    <n v="473.8741721854305"/>
  </r>
  <r>
    <s v="CID267"/>
    <d v="2021-03-13T00:00:00"/>
    <n v="2020"/>
    <x v="3"/>
    <x v="12"/>
    <s v="Rabi"/>
    <x v="1"/>
    <n v="88.28"/>
    <n v="340.55"/>
    <n v="3857.57"/>
    <x v="0"/>
    <x v="3"/>
    <n v="148.69999999999999"/>
    <x v="266"/>
    <s v="Black"/>
    <x v="249"/>
    <x v="34"/>
    <n v="43.696986859990936"/>
  </r>
  <r>
    <s v="CID268"/>
    <d v="2012-09-20T00:00:00"/>
    <n v="2012"/>
    <x v="0"/>
    <x v="6"/>
    <s v="Kharif"/>
    <x v="3"/>
    <n v="18.12"/>
    <n v="125.14"/>
    <n v="6906.21"/>
    <x v="3"/>
    <x v="2"/>
    <n v="252.12"/>
    <x v="267"/>
    <s v="Laterite"/>
    <x v="250"/>
    <x v="119"/>
    <n v="381.13741721854302"/>
  </r>
  <r>
    <s v="CID269"/>
    <d v="2012-04-18T00:00:00"/>
    <n v="2012"/>
    <x v="4"/>
    <x v="9"/>
    <s v="Zaid"/>
    <x v="0"/>
    <n v="32.659999999999997"/>
    <n v="175.14"/>
    <n v="5362.62"/>
    <x v="0"/>
    <x v="3"/>
    <n v="71.760000000000005"/>
    <x v="268"/>
    <s v="Sandy"/>
    <x v="251"/>
    <x v="101"/>
    <n v="164.19534598897735"/>
  </r>
  <r>
    <s v="CID270"/>
    <d v="2022-05-31T00:00:00"/>
    <n v="2022"/>
    <x v="3"/>
    <x v="3"/>
    <s v="Zaid"/>
    <x v="1"/>
    <n v="59.17"/>
    <n v="336.68"/>
    <n v="5690.11"/>
    <x v="0"/>
    <x v="0"/>
    <n v="153.61000000000001"/>
    <x v="269"/>
    <s v="Sandy"/>
    <x v="252"/>
    <x v="11"/>
    <n v="96.165455467297605"/>
  </r>
  <r>
    <s v="CID271"/>
    <d v="2022-06-10T00:00:00"/>
    <n v="2022"/>
    <x v="1"/>
    <x v="10"/>
    <s v="Kharif"/>
    <x v="0"/>
    <n v="86.88"/>
    <n v="545.67999999999995"/>
    <n v="6280.81"/>
    <x v="1"/>
    <x v="2"/>
    <n v="116.03"/>
    <x v="270"/>
    <s v="Sandy"/>
    <x v="253"/>
    <x v="24"/>
    <n v="72.292932780847153"/>
  </r>
  <r>
    <s v="CID272"/>
    <d v="2012-05-01T00:00:00"/>
    <n v="2012"/>
    <x v="2"/>
    <x v="2"/>
    <s v="Zaid"/>
    <x v="1"/>
    <n v="68.400000000000006"/>
    <n v="233.27"/>
    <n v="3410.32"/>
    <x v="1"/>
    <x v="4"/>
    <n v="272.39"/>
    <x v="271"/>
    <s v="Red"/>
    <x v="254"/>
    <x v="7"/>
    <n v="49.858479532163742"/>
  </r>
  <r>
    <s v="CID273"/>
    <d v="2016-02-22T00:00:00"/>
    <n v="2015"/>
    <x v="2"/>
    <x v="13"/>
    <s v="Rabi"/>
    <x v="0"/>
    <n v="28.75"/>
    <n v="113.55"/>
    <n v="3949.72"/>
    <x v="0"/>
    <x v="4"/>
    <n v="293.12"/>
    <x v="272"/>
    <s v="Alluvial"/>
    <x v="27"/>
    <x v="107"/>
    <n v="137.38156521739128"/>
  </r>
  <r>
    <s v="CID274"/>
    <d v="2016-05-03T00:00:00"/>
    <n v="2016"/>
    <x v="2"/>
    <x v="19"/>
    <s v="Zaid"/>
    <x v="2"/>
    <n v="9.84"/>
    <n v="35.92"/>
    <n v="3650.3"/>
    <x v="1"/>
    <x v="2"/>
    <n v="235.24"/>
    <x v="273"/>
    <s v="Alluvial"/>
    <x v="255"/>
    <x v="30"/>
    <n v="370.96544715447158"/>
  </r>
  <r>
    <s v="CID275"/>
    <d v="2021-04-16T00:00:00"/>
    <n v="2021"/>
    <x v="1"/>
    <x v="14"/>
    <s v="Zaid"/>
    <x v="3"/>
    <n v="14.43"/>
    <n v="88.14"/>
    <n v="6107.77"/>
    <x v="0"/>
    <x v="0"/>
    <n v="93.43"/>
    <x v="274"/>
    <s v="Red"/>
    <x v="256"/>
    <x v="16"/>
    <n v="423.26888426888434"/>
  </r>
  <r>
    <s v="CID276"/>
    <d v="2015-05-02T00:00:00"/>
    <n v="2015"/>
    <x v="3"/>
    <x v="3"/>
    <s v="Zaid"/>
    <x v="4"/>
    <n v="28.12"/>
    <n v="167.06"/>
    <n v="5941.04"/>
    <x v="1"/>
    <x v="3"/>
    <n v="208.85"/>
    <x v="275"/>
    <s v="Black"/>
    <x v="257"/>
    <x v="84"/>
    <n v="211.27453769559031"/>
  </r>
  <r>
    <s v="CID277"/>
    <d v="2017-04-04T00:00:00"/>
    <n v="2017"/>
    <x v="3"/>
    <x v="3"/>
    <s v="Zaid"/>
    <x v="1"/>
    <n v="35.630000000000003"/>
    <n v="70.59"/>
    <n v="1981.08"/>
    <x v="2"/>
    <x v="2"/>
    <n v="237.24"/>
    <x v="276"/>
    <s v="Alluvial"/>
    <x v="258"/>
    <x v="17"/>
    <n v="55.601459444288515"/>
  </r>
  <r>
    <s v="CID278"/>
    <d v="2022-07-04T00:00:00"/>
    <n v="2022"/>
    <x v="4"/>
    <x v="9"/>
    <s v="Kharif"/>
    <x v="4"/>
    <n v="65.09"/>
    <n v="329.76"/>
    <n v="5066.17"/>
    <x v="2"/>
    <x v="2"/>
    <n v="212.9"/>
    <x v="277"/>
    <s v="Black"/>
    <x v="259"/>
    <x v="70"/>
    <n v="77.833307727761564"/>
  </r>
  <r>
    <s v="CID279"/>
    <d v="2013-12-26T00:00:00"/>
    <n v="2013"/>
    <x v="5"/>
    <x v="7"/>
    <s v="Rabi"/>
    <x v="1"/>
    <n v="80.7"/>
    <n v="228.6"/>
    <n v="2832.76"/>
    <x v="2"/>
    <x v="1"/>
    <n v="155.94999999999999"/>
    <x v="278"/>
    <s v="Alluvial"/>
    <x v="260"/>
    <x v="112"/>
    <n v="35.102354399008675"/>
  </r>
  <r>
    <s v="CID280"/>
    <d v="2018-04-07T00:00:00"/>
    <n v="2018"/>
    <x v="2"/>
    <x v="19"/>
    <s v="Zaid"/>
    <x v="3"/>
    <n v="58.86"/>
    <n v="61.46"/>
    <n v="1044.0899999999999"/>
    <x v="2"/>
    <x v="1"/>
    <n v="190.36"/>
    <x v="279"/>
    <s v="Alluvial"/>
    <x v="261"/>
    <x v="59"/>
    <n v="17.738532110091743"/>
  </r>
  <r>
    <s v="CID281"/>
    <d v="2014-05-22T00:00:00"/>
    <n v="2014"/>
    <x v="1"/>
    <x v="14"/>
    <s v="Zaid"/>
    <x v="0"/>
    <n v="86.29"/>
    <n v="221.5"/>
    <n v="2566.88"/>
    <x v="2"/>
    <x v="3"/>
    <n v="97.09"/>
    <x v="280"/>
    <s v="Red"/>
    <x v="262"/>
    <x v="58"/>
    <n v="29.747131764978558"/>
  </r>
  <r>
    <s v="CID282"/>
    <d v="2015-05-08T00:00:00"/>
    <n v="2015"/>
    <x v="3"/>
    <x v="12"/>
    <s v="Zaid"/>
    <x v="4"/>
    <n v="72.41"/>
    <n v="357.16"/>
    <n v="4932.3999999999996"/>
    <x v="2"/>
    <x v="3"/>
    <n v="114.86"/>
    <x v="281"/>
    <s v="Laterite"/>
    <x v="263"/>
    <x v="84"/>
    <n v="68.117663306173185"/>
  </r>
  <r>
    <s v="CID283"/>
    <d v="2015-04-11T00:00:00"/>
    <n v="2015"/>
    <x v="4"/>
    <x v="4"/>
    <s v="Zaid"/>
    <x v="2"/>
    <n v="23.01"/>
    <n v="96.82"/>
    <n v="4207.8100000000004"/>
    <x v="1"/>
    <x v="3"/>
    <n v="276.63"/>
    <x v="282"/>
    <s v="Sandy"/>
    <x v="264"/>
    <x v="93"/>
    <n v="182.86875271621034"/>
  </r>
  <r>
    <s v="CID284"/>
    <d v="2011-12-28T00:00:00"/>
    <n v="2011"/>
    <x v="6"/>
    <x v="18"/>
    <s v="Rabi"/>
    <x v="4"/>
    <n v="74.349999999999994"/>
    <n v="397.86"/>
    <n v="5351.12"/>
    <x v="3"/>
    <x v="4"/>
    <n v="286.73"/>
    <x v="283"/>
    <s v="Black"/>
    <x v="265"/>
    <x v="104"/>
    <n v="71.972024209818429"/>
  </r>
  <r>
    <s v="CID285"/>
    <d v="2015-11-19T00:00:00"/>
    <n v="2015"/>
    <x v="3"/>
    <x v="5"/>
    <s v="Rabi"/>
    <x v="1"/>
    <n v="30.11"/>
    <n v="183.89"/>
    <n v="6107.28"/>
    <x v="1"/>
    <x v="1"/>
    <n v="63.42"/>
    <x v="284"/>
    <s v="Sandy"/>
    <x v="266"/>
    <x v="120"/>
    <n v="202.83228163400864"/>
  </r>
  <r>
    <s v="CID286"/>
    <d v="2011-05-28T00:00:00"/>
    <n v="2011"/>
    <x v="6"/>
    <x v="20"/>
    <s v="Zaid"/>
    <x v="3"/>
    <n v="53.45"/>
    <n v="185.93"/>
    <n v="3478.64"/>
    <x v="3"/>
    <x v="1"/>
    <n v="84.34"/>
    <x v="285"/>
    <s v="Laterite"/>
    <x v="267"/>
    <x v="8"/>
    <n v="65.082132834424684"/>
  </r>
  <r>
    <s v="CID287"/>
    <d v="2021-07-14T00:00:00"/>
    <n v="2021"/>
    <x v="6"/>
    <x v="18"/>
    <s v="Kharif"/>
    <x v="5"/>
    <n v="49.27"/>
    <n v="235.82"/>
    <n v="4786.2"/>
    <x v="3"/>
    <x v="3"/>
    <n v="128.35"/>
    <x v="286"/>
    <s v="Laterite"/>
    <x v="268"/>
    <x v="40"/>
    <n v="97.142277247818129"/>
  </r>
  <r>
    <s v="CID288"/>
    <d v="2017-07-22T00:00:00"/>
    <n v="2017"/>
    <x v="4"/>
    <x v="4"/>
    <s v="Kharif"/>
    <x v="4"/>
    <n v="61.83"/>
    <n v="296.83999999999997"/>
    <n v="4800.93"/>
    <x v="1"/>
    <x v="4"/>
    <n v="157.26"/>
    <x v="287"/>
    <s v="Black"/>
    <x v="269"/>
    <x v="25"/>
    <n v="77.647258612324123"/>
  </r>
  <r>
    <s v="CID289"/>
    <d v="2022-04-25T00:00:00"/>
    <n v="2022"/>
    <x v="1"/>
    <x v="14"/>
    <s v="Zaid"/>
    <x v="4"/>
    <n v="2.77"/>
    <n v="2.84"/>
    <n v="1024.74"/>
    <x v="3"/>
    <x v="3"/>
    <n v="106.57"/>
    <x v="288"/>
    <s v="Alluvial"/>
    <x v="270"/>
    <x v="72"/>
    <n v="369.94223826714801"/>
  </r>
  <r>
    <s v="CID290"/>
    <d v="2012-10-04T00:00:00"/>
    <n v="2012"/>
    <x v="5"/>
    <x v="8"/>
    <s v="Kharif"/>
    <x v="5"/>
    <n v="30.52"/>
    <n v="83.78"/>
    <n v="2744.97"/>
    <x v="2"/>
    <x v="4"/>
    <n v="158.41999999999999"/>
    <x v="289"/>
    <s v="Red"/>
    <x v="271"/>
    <x v="2"/>
    <n v="89.940039318479677"/>
  </r>
  <r>
    <s v="CID291"/>
    <d v="2013-02-02T00:00:00"/>
    <n v="2012"/>
    <x v="4"/>
    <x v="4"/>
    <s v="Rabi"/>
    <x v="5"/>
    <n v="23.61"/>
    <n v="126.62"/>
    <n v="5363.01"/>
    <x v="3"/>
    <x v="0"/>
    <n v="102.8"/>
    <x v="290"/>
    <s v="Sandy"/>
    <x v="272"/>
    <x v="15"/>
    <n v="227.14993646759848"/>
  </r>
  <r>
    <s v="CID292"/>
    <d v="2014-04-25T00:00:00"/>
    <n v="2014"/>
    <x v="3"/>
    <x v="12"/>
    <s v="Zaid"/>
    <x v="1"/>
    <n v="5.81"/>
    <n v="40.479999999999997"/>
    <n v="6968.08"/>
    <x v="0"/>
    <x v="0"/>
    <n v="213.39"/>
    <x v="291"/>
    <s v="Black"/>
    <x v="273"/>
    <x v="31"/>
    <n v="1199.3253012048194"/>
  </r>
  <r>
    <s v="CID293"/>
    <d v="2017-05-09T00:00:00"/>
    <n v="2017"/>
    <x v="5"/>
    <x v="8"/>
    <s v="Zaid"/>
    <x v="4"/>
    <n v="21.34"/>
    <n v="109.14"/>
    <n v="5114.4399999999996"/>
    <x v="0"/>
    <x v="2"/>
    <n v="125.28"/>
    <x v="292"/>
    <s v="Sandy"/>
    <x v="274"/>
    <x v="121"/>
    <n v="239.66447985004683"/>
  </r>
  <r>
    <s v="CID294"/>
    <d v="2018-04-13T00:00:00"/>
    <n v="2018"/>
    <x v="3"/>
    <x v="3"/>
    <s v="Zaid"/>
    <x v="1"/>
    <n v="12.66"/>
    <n v="21.32"/>
    <n v="1684.08"/>
    <x v="0"/>
    <x v="4"/>
    <n v="174.43"/>
    <x v="293"/>
    <s v="Alluvial"/>
    <x v="131"/>
    <x v="59"/>
    <n v="133.02369668246445"/>
  </r>
  <r>
    <s v="CID295"/>
    <d v="2014-10-25T00:00:00"/>
    <n v="2014"/>
    <x v="0"/>
    <x v="11"/>
    <s v="Kharif"/>
    <x v="5"/>
    <n v="55.27"/>
    <n v="357.16"/>
    <n v="6462.14"/>
    <x v="1"/>
    <x v="1"/>
    <n v="132.65"/>
    <x v="294"/>
    <s v="Black"/>
    <x v="275"/>
    <x v="122"/>
    <n v="116.91948615885653"/>
  </r>
  <r>
    <s v="CID296"/>
    <d v="2022-04-04T00:00:00"/>
    <n v="2022"/>
    <x v="6"/>
    <x v="17"/>
    <s v="Zaid"/>
    <x v="5"/>
    <n v="72.63"/>
    <n v="116.77"/>
    <n v="1607.74"/>
    <x v="2"/>
    <x v="0"/>
    <n v="211.08"/>
    <x v="295"/>
    <s v="Alluvial"/>
    <x v="276"/>
    <x v="72"/>
    <n v="22.136031942723395"/>
  </r>
  <r>
    <s v="CID297"/>
    <d v="2010-12-06T00:00:00"/>
    <n v="2010"/>
    <x v="4"/>
    <x v="4"/>
    <s v="Rabi"/>
    <x v="0"/>
    <n v="80.36"/>
    <n v="231.13"/>
    <n v="2876.24"/>
    <x v="0"/>
    <x v="2"/>
    <n v="73.75"/>
    <x v="296"/>
    <s v="Black"/>
    <x v="277"/>
    <x v="50"/>
    <n v="35.791936286709806"/>
  </r>
  <r>
    <s v="CID298"/>
    <d v="2017-04-25T00:00:00"/>
    <n v="2017"/>
    <x v="2"/>
    <x v="2"/>
    <s v="Zaid"/>
    <x v="0"/>
    <n v="87.97"/>
    <n v="137.03"/>
    <n v="1557.71"/>
    <x v="2"/>
    <x v="1"/>
    <n v="95.72"/>
    <x v="297"/>
    <s v="Laterite"/>
    <x v="98"/>
    <x v="17"/>
    <n v="17.707286574968741"/>
  </r>
  <r>
    <s v="CID299"/>
    <d v="2020-09-21T00:00:00"/>
    <n v="2020"/>
    <x v="4"/>
    <x v="16"/>
    <s v="Kharif"/>
    <x v="5"/>
    <n v="14.12"/>
    <n v="75.66"/>
    <n v="5358.47"/>
    <x v="3"/>
    <x v="2"/>
    <n v="75.930000000000007"/>
    <x v="298"/>
    <s v="Laterite"/>
    <x v="278"/>
    <x v="41"/>
    <n v="379.49504249291789"/>
  </r>
  <r>
    <s v="CID300"/>
    <d v="2022-11-17T00:00:00"/>
    <n v="2022"/>
    <x v="5"/>
    <x v="8"/>
    <s v="Rabi"/>
    <x v="1"/>
    <n v="3.85"/>
    <n v="19.66"/>
    <n v="5106.78"/>
    <x v="3"/>
    <x v="4"/>
    <n v="170.77"/>
    <x v="299"/>
    <s v="Laterite"/>
    <x v="279"/>
    <x v="115"/>
    <n v="1326.4363636363635"/>
  </r>
  <r>
    <s v="CID301"/>
    <d v="2010-05-15T00:00:00"/>
    <n v="2010"/>
    <x v="0"/>
    <x v="11"/>
    <s v="Zaid"/>
    <x v="2"/>
    <n v="52.96"/>
    <n v="289.25"/>
    <n v="5461.74"/>
    <x v="3"/>
    <x v="3"/>
    <n v="294.47000000000003"/>
    <x v="300"/>
    <s v="Alluvial"/>
    <x v="280"/>
    <x v="61"/>
    <n v="103.12953172205438"/>
  </r>
  <r>
    <s v="CID302"/>
    <d v="2020-05-12T00:00:00"/>
    <n v="2020"/>
    <x v="1"/>
    <x v="14"/>
    <s v="Zaid"/>
    <x v="4"/>
    <n v="48.71"/>
    <n v="242.69"/>
    <n v="4982.26"/>
    <x v="1"/>
    <x v="2"/>
    <n v="87.16"/>
    <x v="301"/>
    <s v="Sandy"/>
    <x v="281"/>
    <x v="28"/>
    <n v="102.28413056867173"/>
  </r>
  <r>
    <s v="CID303"/>
    <d v="2017-09-05T00:00:00"/>
    <n v="2017"/>
    <x v="5"/>
    <x v="8"/>
    <s v="Kharif"/>
    <x v="5"/>
    <n v="75.39"/>
    <n v="220.43"/>
    <n v="2923.8"/>
    <x v="2"/>
    <x v="1"/>
    <n v="292.54000000000002"/>
    <x v="302"/>
    <s v="Red"/>
    <x v="282"/>
    <x v="103"/>
    <n v="38.782331874253885"/>
  </r>
  <r>
    <s v="CID304"/>
    <d v="2011-11-05T00:00:00"/>
    <n v="2011"/>
    <x v="4"/>
    <x v="4"/>
    <s v="Rabi"/>
    <x v="3"/>
    <n v="80.319999999999993"/>
    <n v="296.27"/>
    <n v="3688.59"/>
    <x v="1"/>
    <x v="0"/>
    <n v="161.77000000000001"/>
    <x v="303"/>
    <s v="Laterite"/>
    <x v="283"/>
    <x v="73"/>
    <n v="45.923680278884468"/>
  </r>
  <r>
    <s v="CID305"/>
    <d v="2010-04-24T00:00:00"/>
    <n v="2010"/>
    <x v="3"/>
    <x v="5"/>
    <s v="Zaid"/>
    <x v="1"/>
    <n v="1.02"/>
    <n v="1.58"/>
    <n v="1545.37"/>
    <x v="2"/>
    <x v="0"/>
    <n v="272.52999999999997"/>
    <x v="304"/>
    <s v="Laterite"/>
    <x v="284"/>
    <x v="0"/>
    <n v="1515.0686274509803"/>
  </r>
  <r>
    <s v="CID306"/>
    <d v="2018-01-30T00:00:00"/>
    <n v="2017"/>
    <x v="4"/>
    <x v="4"/>
    <s v="Rabi"/>
    <x v="1"/>
    <n v="76.97"/>
    <n v="354.04"/>
    <n v="4599.71"/>
    <x v="2"/>
    <x v="4"/>
    <n v="228.98"/>
    <x v="305"/>
    <s v="Red"/>
    <x v="285"/>
    <x v="83"/>
    <n v="59.759776536312849"/>
  </r>
  <r>
    <s v="CID307"/>
    <d v="2015-05-10T00:00:00"/>
    <n v="2015"/>
    <x v="5"/>
    <x v="15"/>
    <s v="Zaid"/>
    <x v="5"/>
    <n v="5.53"/>
    <n v="10.98"/>
    <n v="1984.93"/>
    <x v="3"/>
    <x v="2"/>
    <n v="255.46"/>
    <x v="306"/>
    <s v="Laterite"/>
    <x v="286"/>
    <x v="84"/>
    <n v="358.93851717902351"/>
  </r>
  <r>
    <s v="CID308"/>
    <d v="2016-09-24T00:00:00"/>
    <n v="2016"/>
    <x v="6"/>
    <x v="17"/>
    <s v="Kharif"/>
    <x v="3"/>
    <n v="82.63"/>
    <n v="177.11"/>
    <n v="2143.4699999999998"/>
    <x v="2"/>
    <x v="1"/>
    <n v="76.94"/>
    <x v="307"/>
    <s v="Sandy"/>
    <x v="287"/>
    <x v="123"/>
    <n v="25.940578482391381"/>
  </r>
  <r>
    <s v="CID309"/>
    <d v="2018-07-16T00:00:00"/>
    <n v="2018"/>
    <x v="0"/>
    <x v="6"/>
    <s v="Kharif"/>
    <x v="3"/>
    <n v="1.43"/>
    <n v="7.75"/>
    <n v="5417.28"/>
    <x v="1"/>
    <x v="3"/>
    <n v="259.7"/>
    <x v="308"/>
    <s v="Sandy"/>
    <x v="44"/>
    <x v="13"/>
    <n v="3788.3076923076924"/>
  </r>
  <r>
    <s v="CID310"/>
    <d v="2012-08-03T00:00:00"/>
    <n v="2012"/>
    <x v="6"/>
    <x v="20"/>
    <s v="Kharif"/>
    <x v="3"/>
    <n v="66.09"/>
    <n v="306.45999999999998"/>
    <n v="4636.96"/>
    <x v="2"/>
    <x v="4"/>
    <n v="176.03"/>
    <x v="309"/>
    <s v="Sandy"/>
    <x v="288"/>
    <x v="109"/>
    <n v="70.161295203510363"/>
  </r>
  <r>
    <s v="CID311"/>
    <d v="2015-03-22T00:00:00"/>
    <n v="2014"/>
    <x v="3"/>
    <x v="5"/>
    <s v="Rabi"/>
    <x v="4"/>
    <n v="14.68"/>
    <n v="67.75"/>
    <n v="4615.1499999999996"/>
    <x v="2"/>
    <x v="2"/>
    <n v="260.77"/>
    <x v="310"/>
    <s v="Alluvial"/>
    <x v="289"/>
    <x v="48"/>
    <n v="314.38351498637599"/>
  </r>
  <r>
    <s v="CID312"/>
    <d v="2019-05-15T00:00:00"/>
    <n v="2019"/>
    <x v="6"/>
    <x v="17"/>
    <s v="Zaid"/>
    <x v="0"/>
    <n v="68.97"/>
    <n v="450.18"/>
    <n v="6527.15"/>
    <x v="3"/>
    <x v="4"/>
    <n v="295.33"/>
    <x v="311"/>
    <s v="Red"/>
    <x v="290"/>
    <x v="51"/>
    <n v="94.637523560968532"/>
  </r>
  <r>
    <s v="CID313"/>
    <d v="2023-02-17T00:00:00"/>
    <n v="2022"/>
    <x v="0"/>
    <x v="0"/>
    <s v="Rabi"/>
    <x v="1"/>
    <n v="48.56"/>
    <n v="214.82"/>
    <n v="4423.83"/>
    <x v="1"/>
    <x v="0"/>
    <n v="218.56"/>
    <x v="312"/>
    <s v="Sandy"/>
    <x v="291"/>
    <x v="124"/>
    <n v="91.100288303130142"/>
  </r>
  <r>
    <s v="CID314"/>
    <d v="2010-12-08T00:00:00"/>
    <n v="2010"/>
    <x v="5"/>
    <x v="7"/>
    <s v="Rabi"/>
    <x v="4"/>
    <n v="6.25"/>
    <n v="8.3699999999999992"/>
    <n v="1339.63"/>
    <x v="2"/>
    <x v="0"/>
    <n v="237.55"/>
    <x v="313"/>
    <s v="Alluvial"/>
    <x v="292"/>
    <x v="50"/>
    <n v="214.34080000000003"/>
  </r>
  <r>
    <s v="CID315"/>
    <d v="2013-05-21T00:00:00"/>
    <n v="2013"/>
    <x v="0"/>
    <x v="11"/>
    <s v="Zaid"/>
    <x v="5"/>
    <n v="36.51"/>
    <n v="135.66"/>
    <n v="3715.57"/>
    <x v="3"/>
    <x v="4"/>
    <n v="235.6"/>
    <x v="314"/>
    <s v="Red"/>
    <x v="293"/>
    <x v="67"/>
    <n v="101.76855655984663"/>
  </r>
  <r>
    <s v="CID316"/>
    <d v="2011-02-22T00:00:00"/>
    <n v="2010"/>
    <x v="0"/>
    <x v="6"/>
    <s v="Rabi"/>
    <x v="3"/>
    <n v="42.24"/>
    <n v="241.98"/>
    <n v="5728.67"/>
    <x v="2"/>
    <x v="2"/>
    <n v="291.45999999999998"/>
    <x v="315"/>
    <s v="Alluvial"/>
    <x v="24"/>
    <x v="100"/>
    <n v="135.62192234848484"/>
  </r>
  <r>
    <s v="CID317"/>
    <d v="2021-05-14T00:00:00"/>
    <n v="2021"/>
    <x v="0"/>
    <x v="6"/>
    <s v="Zaid"/>
    <x v="0"/>
    <n v="75.760000000000005"/>
    <n v="324.23"/>
    <n v="4279.6899999999996"/>
    <x v="3"/>
    <x v="0"/>
    <n v="244.04"/>
    <x v="316"/>
    <s v="Alluvial"/>
    <x v="103"/>
    <x v="91"/>
    <n v="56.490100316789857"/>
  </r>
  <r>
    <s v="CID318"/>
    <d v="2021-04-30T00:00:00"/>
    <n v="2021"/>
    <x v="6"/>
    <x v="17"/>
    <s v="Zaid"/>
    <x v="5"/>
    <n v="38.340000000000003"/>
    <n v="136.91"/>
    <n v="3571.05"/>
    <x v="2"/>
    <x v="2"/>
    <n v="82.52"/>
    <x v="317"/>
    <s v="Alluvial"/>
    <x v="149"/>
    <x v="16"/>
    <n v="93.141627543035995"/>
  </r>
  <r>
    <s v="CID319"/>
    <d v="2015-05-16T00:00:00"/>
    <n v="2015"/>
    <x v="1"/>
    <x v="1"/>
    <s v="Zaid"/>
    <x v="5"/>
    <n v="77.59"/>
    <n v="368.72"/>
    <n v="4752.2"/>
    <x v="2"/>
    <x v="4"/>
    <n v="172.64"/>
    <x v="318"/>
    <s v="Alluvial"/>
    <x v="294"/>
    <x v="84"/>
    <n v="61.247583451475698"/>
  </r>
  <r>
    <s v="CID320"/>
    <d v="2012-04-22T00:00:00"/>
    <n v="2012"/>
    <x v="5"/>
    <x v="7"/>
    <s v="Zaid"/>
    <x v="5"/>
    <n v="78.84"/>
    <n v="154.22999999999999"/>
    <n v="1956.22"/>
    <x v="1"/>
    <x v="4"/>
    <n v="72.989999999999995"/>
    <x v="319"/>
    <s v="Red"/>
    <x v="295"/>
    <x v="101"/>
    <n v="24.812531709791983"/>
  </r>
  <r>
    <s v="CID321"/>
    <d v="2022-05-10T00:00:00"/>
    <n v="2022"/>
    <x v="2"/>
    <x v="13"/>
    <s v="Zaid"/>
    <x v="1"/>
    <n v="48.01"/>
    <n v="209.71"/>
    <n v="4368.01"/>
    <x v="0"/>
    <x v="3"/>
    <n v="78.680000000000007"/>
    <x v="320"/>
    <s v="Red"/>
    <x v="296"/>
    <x v="11"/>
    <n v="90.981253905436375"/>
  </r>
  <r>
    <s v="CID322"/>
    <d v="2021-02-04T00:00:00"/>
    <n v="2020"/>
    <x v="6"/>
    <x v="17"/>
    <s v="Rabi"/>
    <x v="3"/>
    <n v="91.68"/>
    <n v="611.5"/>
    <n v="6669.93"/>
    <x v="1"/>
    <x v="3"/>
    <n v="114.15"/>
    <x v="321"/>
    <s v="Black"/>
    <x v="297"/>
    <x v="42"/>
    <n v="72.752290575916234"/>
  </r>
  <r>
    <s v="CID323"/>
    <d v="2018-03-18T00:00:00"/>
    <n v="2017"/>
    <x v="4"/>
    <x v="9"/>
    <s v="Rabi"/>
    <x v="5"/>
    <n v="30.35"/>
    <n v="148.99"/>
    <n v="4909.17"/>
    <x v="2"/>
    <x v="3"/>
    <n v="178.47"/>
    <x v="322"/>
    <s v="Red"/>
    <x v="298"/>
    <x v="47"/>
    <n v="161.75189456342667"/>
  </r>
  <r>
    <s v="CID324"/>
    <d v="2011-06-19T00:00:00"/>
    <n v="2011"/>
    <x v="1"/>
    <x v="10"/>
    <s v="Kharif"/>
    <x v="2"/>
    <n v="63.32"/>
    <n v="144.31"/>
    <n v="2279.0500000000002"/>
    <x v="1"/>
    <x v="2"/>
    <n v="258.92"/>
    <x v="323"/>
    <s v="Laterite"/>
    <x v="165"/>
    <x v="85"/>
    <n v="35.992577384712575"/>
  </r>
  <r>
    <s v="CID325"/>
    <d v="2022-02-13T00:00:00"/>
    <n v="2021"/>
    <x v="1"/>
    <x v="14"/>
    <s v="Rabi"/>
    <x v="5"/>
    <n v="9.66"/>
    <n v="12.81"/>
    <n v="1325.61"/>
    <x v="2"/>
    <x v="1"/>
    <n v="189.52"/>
    <x v="324"/>
    <s v="Red"/>
    <x v="299"/>
    <x v="55"/>
    <n v="137.22670807453414"/>
  </r>
  <r>
    <s v="CID326"/>
    <d v="2016-11-19T00:00:00"/>
    <n v="2016"/>
    <x v="3"/>
    <x v="12"/>
    <s v="Rabi"/>
    <x v="0"/>
    <n v="2.67"/>
    <n v="13.46"/>
    <n v="5039.79"/>
    <x v="0"/>
    <x v="4"/>
    <n v="210.36"/>
    <x v="325"/>
    <s v="Sandy"/>
    <x v="300"/>
    <x v="110"/>
    <n v="1887.5617977528091"/>
  </r>
  <r>
    <s v="CID327"/>
    <d v="2014-05-05T00:00:00"/>
    <n v="2014"/>
    <x v="5"/>
    <x v="7"/>
    <s v="Zaid"/>
    <x v="0"/>
    <n v="61.05"/>
    <n v="164.17"/>
    <n v="2689.1"/>
    <x v="1"/>
    <x v="2"/>
    <n v="145.35"/>
    <x v="326"/>
    <s v="Black"/>
    <x v="259"/>
    <x v="58"/>
    <n v="44.04750204750205"/>
  </r>
  <r>
    <s v="CID328"/>
    <d v="2016-04-03T00:00:00"/>
    <n v="2016"/>
    <x v="6"/>
    <x v="20"/>
    <s v="Zaid"/>
    <x v="0"/>
    <n v="96.05"/>
    <n v="179.08"/>
    <n v="1864.45"/>
    <x v="2"/>
    <x v="0"/>
    <n v="289.35000000000002"/>
    <x v="327"/>
    <s v="Sandy"/>
    <x v="301"/>
    <x v="99"/>
    <n v="19.411244143675169"/>
  </r>
  <r>
    <s v="CID329"/>
    <d v="2016-04-12T00:00:00"/>
    <n v="2016"/>
    <x v="5"/>
    <x v="15"/>
    <s v="Zaid"/>
    <x v="1"/>
    <n v="94.75"/>
    <n v="267.97000000000003"/>
    <n v="2828.15"/>
    <x v="2"/>
    <x v="2"/>
    <n v="102.93"/>
    <x v="328"/>
    <s v="Sandy"/>
    <x v="6"/>
    <x v="99"/>
    <n v="29.848548812664909"/>
  </r>
  <r>
    <s v="CID330"/>
    <d v="2013-10-19T00:00:00"/>
    <n v="2013"/>
    <x v="5"/>
    <x v="8"/>
    <s v="Kharif"/>
    <x v="4"/>
    <n v="67.430000000000007"/>
    <n v="296.95"/>
    <n v="4403.76"/>
    <x v="0"/>
    <x v="0"/>
    <n v="262.85000000000002"/>
    <x v="329"/>
    <s v="Sandy"/>
    <x v="302"/>
    <x v="32"/>
    <n v="65.308616342874089"/>
  </r>
  <r>
    <s v="CID331"/>
    <d v="2011-11-18T00:00:00"/>
    <n v="2011"/>
    <x v="2"/>
    <x v="19"/>
    <s v="Rabi"/>
    <x v="5"/>
    <n v="20.54"/>
    <n v="92.09"/>
    <n v="4483.57"/>
    <x v="2"/>
    <x v="2"/>
    <n v="139.28"/>
    <x v="330"/>
    <s v="Red"/>
    <x v="303"/>
    <x v="73"/>
    <n v="218.28481012658227"/>
  </r>
  <r>
    <s v="CID332"/>
    <d v="2017-12-14T00:00:00"/>
    <n v="2017"/>
    <x v="2"/>
    <x v="2"/>
    <s v="Rabi"/>
    <x v="1"/>
    <n v="66.28"/>
    <n v="342.05"/>
    <n v="5160.75"/>
    <x v="3"/>
    <x v="0"/>
    <n v="191.39"/>
    <x v="331"/>
    <s v="Alluvial"/>
    <x v="304"/>
    <x v="97"/>
    <n v="77.86285455642728"/>
  </r>
  <r>
    <s v="CID333"/>
    <d v="2022-08-31T00:00:00"/>
    <n v="2022"/>
    <x v="2"/>
    <x v="13"/>
    <s v="Kharif"/>
    <x v="2"/>
    <n v="74.239999999999995"/>
    <n v="268.51"/>
    <n v="3616.74"/>
    <x v="2"/>
    <x v="4"/>
    <n v="83.58"/>
    <x v="332"/>
    <s v="Laterite"/>
    <x v="305"/>
    <x v="125"/>
    <n v="48.716864224137929"/>
  </r>
  <r>
    <s v="CID334"/>
    <d v="2011-06-05T00:00:00"/>
    <n v="2011"/>
    <x v="3"/>
    <x v="12"/>
    <s v="Kharif"/>
    <x v="2"/>
    <n v="61.06"/>
    <n v="369.46"/>
    <n v="6050.76"/>
    <x v="3"/>
    <x v="3"/>
    <n v="272.82"/>
    <x v="333"/>
    <s v="Black"/>
    <x v="306"/>
    <x v="85"/>
    <n v="99.095316082541757"/>
  </r>
  <r>
    <s v="CID335"/>
    <d v="2019-05-20T00:00:00"/>
    <n v="2019"/>
    <x v="0"/>
    <x v="0"/>
    <s v="Zaid"/>
    <x v="3"/>
    <n v="77.150000000000006"/>
    <n v="175.64"/>
    <n v="2276.56"/>
    <x v="0"/>
    <x v="2"/>
    <n v="187.9"/>
    <x v="334"/>
    <s v="Sandy"/>
    <x v="307"/>
    <x v="51"/>
    <n v="29.508230719377831"/>
  </r>
  <r>
    <s v="CID336"/>
    <d v="2013-05-22T00:00:00"/>
    <n v="2013"/>
    <x v="2"/>
    <x v="2"/>
    <s v="Zaid"/>
    <x v="2"/>
    <n v="85.86"/>
    <n v="154.83000000000001"/>
    <n v="1803.29"/>
    <x v="0"/>
    <x v="3"/>
    <n v="149.19999999999999"/>
    <x v="335"/>
    <s v="Red"/>
    <x v="308"/>
    <x v="67"/>
    <n v="21.002678779408338"/>
  </r>
  <r>
    <s v="CID337"/>
    <d v="2022-05-19T00:00:00"/>
    <n v="2022"/>
    <x v="0"/>
    <x v="0"/>
    <s v="Zaid"/>
    <x v="4"/>
    <n v="45.18"/>
    <n v="93.74"/>
    <n v="2074.87"/>
    <x v="3"/>
    <x v="1"/>
    <n v="233.98"/>
    <x v="336"/>
    <s v="Alluvial"/>
    <x v="309"/>
    <x v="11"/>
    <n v="45.924524125719344"/>
  </r>
  <r>
    <s v="CID338"/>
    <d v="2015-01-22T00:00:00"/>
    <n v="2014"/>
    <x v="6"/>
    <x v="17"/>
    <s v="Rabi"/>
    <x v="4"/>
    <n v="5.24"/>
    <n v="11.74"/>
    <n v="2240.64"/>
    <x v="2"/>
    <x v="0"/>
    <n v="147.02000000000001"/>
    <x v="337"/>
    <s v="Black"/>
    <x v="310"/>
    <x v="96"/>
    <n v="427.60305343511448"/>
  </r>
  <r>
    <s v="CID339"/>
    <d v="2020-11-20T00:00:00"/>
    <n v="2020"/>
    <x v="0"/>
    <x v="6"/>
    <s v="Rabi"/>
    <x v="2"/>
    <n v="27.07"/>
    <n v="115.48"/>
    <n v="4266.1000000000004"/>
    <x v="3"/>
    <x v="3"/>
    <n v="144.16"/>
    <x v="338"/>
    <s v="Sandy"/>
    <x v="311"/>
    <x v="98"/>
    <n v="157.59512375323237"/>
  </r>
  <r>
    <s v="CID340"/>
    <d v="2013-04-09T00:00:00"/>
    <n v="2013"/>
    <x v="2"/>
    <x v="2"/>
    <s v="Zaid"/>
    <x v="3"/>
    <n v="35.94"/>
    <n v="223.06"/>
    <n v="6206.32"/>
    <x v="1"/>
    <x v="1"/>
    <n v="248.16"/>
    <x v="339"/>
    <s v="Black"/>
    <x v="249"/>
    <x v="1"/>
    <n v="172.68558708959378"/>
  </r>
  <r>
    <s v="CID341"/>
    <d v="2011-04-27T00:00:00"/>
    <n v="2011"/>
    <x v="6"/>
    <x v="17"/>
    <s v="Zaid"/>
    <x v="2"/>
    <n v="28.8"/>
    <n v="54.76"/>
    <n v="1901.44"/>
    <x v="3"/>
    <x v="4"/>
    <n v="140.56"/>
    <x v="340"/>
    <s v="Black"/>
    <x v="312"/>
    <x v="62"/>
    <n v="66.022222222222226"/>
  </r>
  <r>
    <s v="CID342"/>
    <d v="2017-04-09T00:00:00"/>
    <n v="2017"/>
    <x v="0"/>
    <x v="0"/>
    <s v="Zaid"/>
    <x v="3"/>
    <n v="48.42"/>
    <n v="220.06"/>
    <n v="4544.75"/>
    <x v="1"/>
    <x v="3"/>
    <n v="55.61"/>
    <x v="341"/>
    <s v="Sandy"/>
    <x v="313"/>
    <x v="17"/>
    <n v="93.861007847996689"/>
  </r>
  <r>
    <s v="CID343"/>
    <d v="2012-08-12T00:00:00"/>
    <n v="2012"/>
    <x v="1"/>
    <x v="10"/>
    <s v="Kharif"/>
    <x v="4"/>
    <n v="26.57"/>
    <n v="55.27"/>
    <n v="2080.23"/>
    <x v="1"/>
    <x v="0"/>
    <n v="199.84"/>
    <x v="342"/>
    <s v="Black"/>
    <x v="314"/>
    <x v="109"/>
    <n v="78.292435077154693"/>
  </r>
  <r>
    <s v="CID344"/>
    <d v="2020-03-10T00:00:00"/>
    <n v="2019"/>
    <x v="6"/>
    <x v="18"/>
    <s v="Rabi"/>
    <x v="3"/>
    <n v="17.89"/>
    <n v="107.02"/>
    <n v="5982.18"/>
    <x v="3"/>
    <x v="4"/>
    <n v="248.65"/>
    <x v="343"/>
    <s v="Red"/>
    <x v="32"/>
    <x v="86"/>
    <n v="334.38680827277807"/>
  </r>
  <r>
    <s v="CID345"/>
    <d v="2021-03-10T00:00:00"/>
    <n v="2020"/>
    <x v="6"/>
    <x v="20"/>
    <s v="Rabi"/>
    <x v="3"/>
    <n v="60.06"/>
    <n v="84.87"/>
    <n v="1413.06"/>
    <x v="1"/>
    <x v="1"/>
    <n v="146.37"/>
    <x v="344"/>
    <s v="Red"/>
    <x v="315"/>
    <x v="34"/>
    <n v="23.527472527472526"/>
  </r>
  <r>
    <s v="CID346"/>
    <d v="2019-07-04T00:00:00"/>
    <n v="2019"/>
    <x v="4"/>
    <x v="4"/>
    <s v="Kharif"/>
    <x v="4"/>
    <n v="48.11"/>
    <n v="225.56"/>
    <n v="4688.49"/>
    <x v="0"/>
    <x v="3"/>
    <n v="269.44"/>
    <x v="345"/>
    <s v="Black"/>
    <x v="205"/>
    <x v="49"/>
    <n v="97.453543961754306"/>
  </r>
  <r>
    <s v="CID347"/>
    <d v="2022-04-25T00:00:00"/>
    <n v="2022"/>
    <x v="5"/>
    <x v="7"/>
    <s v="Zaid"/>
    <x v="2"/>
    <n v="43.72"/>
    <n v="154.07"/>
    <n v="3524.1"/>
    <x v="0"/>
    <x v="4"/>
    <n v="224.41"/>
    <x v="346"/>
    <s v="Laterite"/>
    <x v="189"/>
    <x v="72"/>
    <n v="80.606129917657825"/>
  </r>
  <r>
    <s v="CID348"/>
    <d v="2022-05-27T00:00:00"/>
    <n v="2022"/>
    <x v="5"/>
    <x v="15"/>
    <s v="Zaid"/>
    <x v="1"/>
    <n v="10.67"/>
    <n v="19.239999999999998"/>
    <n v="1803.3"/>
    <x v="1"/>
    <x v="3"/>
    <n v="241.46"/>
    <x v="347"/>
    <s v="Black"/>
    <x v="316"/>
    <x v="11"/>
    <n v="169.00656044985942"/>
  </r>
  <r>
    <s v="CID349"/>
    <d v="2013-08-20T00:00:00"/>
    <n v="2013"/>
    <x v="3"/>
    <x v="5"/>
    <s v="Kharif"/>
    <x v="2"/>
    <n v="74.62"/>
    <n v="77.8"/>
    <n v="1042.68"/>
    <x v="0"/>
    <x v="1"/>
    <n v="179.94"/>
    <x v="348"/>
    <s v="Red"/>
    <x v="317"/>
    <x v="117"/>
    <n v="13.973197534173144"/>
  </r>
  <r>
    <s v="CID350"/>
    <d v="2013-02-14T00:00:00"/>
    <n v="2012"/>
    <x v="2"/>
    <x v="13"/>
    <s v="Rabi"/>
    <x v="2"/>
    <n v="58.95"/>
    <n v="151.37"/>
    <n v="2567.8200000000002"/>
    <x v="1"/>
    <x v="3"/>
    <n v="191.17"/>
    <x v="349"/>
    <s v="Laterite"/>
    <x v="139"/>
    <x v="15"/>
    <n v="43.559287531806618"/>
  </r>
  <r>
    <s v="CID351"/>
    <d v="2017-07-01T00:00:00"/>
    <n v="2017"/>
    <x v="4"/>
    <x v="9"/>
    <s v="Kharif"/>
    <x v="0"/>
    <n v="56.35"/>
    <n v="219.91"/>
    <n v="3902.56"/>
    <x v="2"/>
    <x v="2"/>
    <n v="194.41"/>
    <x v="350"/>
    <s v="Laterite"/>
    <x v="318"/>
    <x v="25"/>
    <n v="69.255723158828744"/>
  </r>
  <r>
    <s v="CID352"/>
    <d v="2012-07-08T00:00:00"/>
    <n v="2012"/>
    <x v="3"/>
    <x v="12"/>
    <s v="Kharif"/>
    <x v="4"/>
    <n v="51.33"/>
    <n v="293.43"/>
    <n v="5716.49"/>
    <x v="0"/>
    <x v="1"/>
    <n v="90.18"/>
    <x v="351"/>
    <s v="Black"/>
    <x v="319"/>
    <x v="87"/>
    <n v="111.36742645626339"/>
  </r>
  <r>
    <s v="CID353"/>
    <d v="2011-10-12T00:00:00"/>
    <n v="2011"/>
    <x v="5"/>
    <x v="8"/>
    <s v="Kharif"/>
    <x v="0"/>
    <n v="22.96"/>
    <n v="33.99"/>
    <n v="1480.24"/>
    <x v="0"/>
    <x v="4"/>
    <n v="231.12"/>
    <x v="352"/>
    <s v="Laterite"/>
    <x v="320"/>
    <x v="64"/>
    <n v="64.470383275261327"/>
  </r>
  <r>
    <s v="CID354"/>
    <d v="2010-07-30T00:00:00"/>
    <n v="2010"/>
    <x v="0"/>
    <x v="6"/>
    <s v="Kharif"/>
    <x v="2"/>
    <n v="49.94"/>
    <n v="53.15"/>
    <n v="1064.26"/>
    <x v="2"/>
    <x v="3"/>
    <n v="98.69"/>
    <x v="353"/>
    <s v="Sandy"/>
    <x v="321"/>
    <x v="126"/>
    <n v="21.310772927513018"/>
  </r>
  <r>
    <s v="CID355"/>
    <d v="2011-02-12T00:00:00"/>
    <n v="2010"/>
    <x v="6"/>
    <x v="20"/>
    <s v="Rabi"/>
    <x v="4"/>
    <n v="65.849999999999994"/>
    <n v="451.33"/>
    <n v="6853.88"/>
    <x v="0"/>
    <x v="3"/>
    <n v="299.2"/>
    <x v="354"/>
    <s v="Alluvial"/>
    <x v="322"/>
    <x v="100"/>
    <n v="104.08321943811694"/>
  </r>
  <r>
    <s v="CID356"/>
    <d v="2010-05-23T00:00:00"/>
    <n v="2010"/>
    <x v="6"/>
    <x v="20"/>
    <s v="Zaid"/>
    <x v="2"/>
    <n v="7.79"/>
    <n v="12"/>
    <n v="1541"/>
    <x v="2"/>
    <x v="4"/>
    <n v="231.53"/>
    <x v="355"/>
    <s v="Sandy"/>
    <x v="323"/>
    <x v="61"/>
    <n v="197.81771501925544"/>
  </r>
  <r>
    <s v="CID357"/>
    <d v="2013-11-30T00:00:00"/>
    <n v="2013"/>
    <x v="6"/>
    <x v="20"/>
    <s v="Rabi"/>
    <x v="3"/>
    <n v="57.92"/>
    <n v="148.66"/>
    <n v="2566.65"/>
    <x v="1"/>
    <x v="3"/>
    <n v="176.56"/>
    <x v="356"/>
    <s v="Sandy"/>
    <x v="324"/>
    <x v="127"/>
    <n v="44.313708563535911"/>
  </r>
  <r>
    <s v="CID358"/>
    <d v="2022-05-28T00:00:00"/>
    <n v="2022"/>
    <x v="2"/>
    <x v="19"/>
    <s v="Zaid"/>
    <x v="0"/>
    <n v="69.72"/>
    <n v="473.84"/>
    <n v="6796.33"/>
    <x v="1"/>
    <x v="3"/>
    <n v="242.49"/>
    <x v="357"/>
    <s v="Laterite"/>
    <x v="325"/>
    <x v="11"/>
    <n v="97.480349971313828"/>
  </r>
  <r>
    <s v="CID359"/>
    <d v="2017-08-30T00:00:00"/>
    <n v="2017"/>
    <x v="4"/>
    <x v="4"/>
    <s v="Kharif"/>
    <x v="0"/>
    <n v="7.69"/>
    <n v="36.93"/>
    <n v="4801.97"/>
    <x v="3"/>
    <x v="3"/>
    <n v="219.23"/>
    <x v="358"/>
    <s v="Alluvial"/>
    <x v="326"/>
    <x v="57"/>
    <n v="624.44343302990899"/>
  </r>
  <r>
    <s v="CID360"/>
    <d v="2021-12-26T00:00:00"/>
    <n v="2021"/>
    <x v="5"/>
    <x v="7"/>
    <s v="Rabi"/>
    <x v="4"/>
    <n v="29.44"/>
    <n v="99.91"/>
    <n v="3393.58"/>
    <x v="2"/>
    <x v="3"/>
    <n v="69.010000000000005"/>
    <x v="359"/>
    <s v="Laterite"/>
    <x v="327"/>
    <x v="71"/>
    <n v="115.27105978260869"/>
  </r>
  <r>
    <s v="CID361"/>
    <d v="2021-05-24T00:00:00"/>
    <n v="2021"/>
    <x v="2"/>
    <x v="13"/>
    <s v="Zaid"/>
    <x v="4"/>
    <n v="50.4"/>
    <n v="110.78"/>
    <n v="2198"/>
    <x v="3"/>
    <x v="3"/>
    <n v="268.19"/>
    <x v="360"/>
    <s v="Red"/>
    <x v="328"/>
    <x v="91"/>
    <n v="43.611111111111114"/>
  </r>
  <r>
    <s v="CID362"/>
    <d v="2022-10-02T00:00:00"/>
    <n v="2022"/>
    <x v="2"/>
    <x v="13"/>
    <s v="Kharif"/>
    <x v="5"/>
    <n v="92.1"/>
    <n v="465.55"/>
    <n v="5054.87"/>
    <x v="1"/>
    <x v="4"/>
    <n v="203.46"/>
    <x v="361"/>
    <s v="Sandy"/>
    <x v="329"/>
    <x v="106"/>
    <n v="54.884581976112926"/>
  </r>
  <r>
    <s v="CID363"/>
    <d v="2017-05-22T00:00:00"/>
    <n v="2017"/>
    <x v="5"/>
    <x v="8"/>
    <s v="Zaid"/>
    <x v="0"/>
    <n v="49.59"/>
    <n v="342.49"/>
    <n v="6906.37"/>
    <x v="2"/>
    <x v="1"/>
    <n v="149.47"/>
    <x v="362"/>
    <s v="Red"/>
    <x v="330"/>
    <x v="121"/>
    <n v="139.26940915507157"/>
  </r>
  <r>
    <s v="CID364"/>
    <d v="2010-05-15T00:00:00"/>
    <n v="2010"/>
    <x v="3"/>
    <x v="12"/>
    <s v="Zaid"/>
    <x v="0"/>
    <n v="39.979999999999997"/>
    <n v="204.62"/>
    <n v="5118.03"/>
    <x v="3"/>
    <x v="0"/>
    <n v="164.3"/>
    <x v="363"/>
    <s v="Sandy"/>
    <x v="331"/>
    <x v="61"/>
    <n v="128.01475737868935"/>
  </r>
  <r>
    <s v="CID365"/>
    <d v="2014-01-27T00:00:00"/>
    <n v="2013"/>
    <x v="1"/>
    <x v="10"/>
    <s v="Rabi"/>
    <x v="1"/>
    <n v="10.97"/>
    <n v="34.770000000000003"/>
    <n v="3169.61"/>
    <x v="2"/>
    <x v="4"/>
    <n v="96.79"/>
    <x v="364"/>
    <s v="Alluvial"/>
    <x v="332"/>
    <x v="44"/>
    <n v="288.93436645396537"/>
  </r>
  <r>
    <s v="CID366"/>
    <d v="2016-07-29T00:00:00"/>
    <n v="2016"/>
    <x v="6"/>
    <x v="18"/>
    <s v="Kharif"/>
    <x v="3"/>
    <n v="70.37"/>
    <n v="227.57"/>
    <n v="3233.86"/>
    <x v="1"/>
    <x v="0"/>
    <n v="119.91"/>
    <x v="365"/>
    <s v="Red"/>
    <x v="333"/>
    <x v="128"/>
    <n v="45.955094500497367"/>
  </r>
  <r>
    <s v="CID367"/>
    <d v="2022-07-16T00:00:00"/>
    <n v="2022"/>
    <x v="0"/>
    <x v="11"/>
    <s v="Kharif"/>
    <x v="1"/>
    <n v="43.79"/>
    <n v="143.86000000000001"/>
    <n v="3285.3"/>
    <x v="3"/>
    <x v="1"/>
    <n v="250.01"/>
    <x v="366"/>
    <s v="Laterite"/>
    <x v="334"/>
    <x v="70"/>
    <n v="75.023978077186584"/>
  </r>
  <r>
    <s v="CID368"/>
    <d v="2020-05-15T00:00:00"/>
    <n v="2020"/>
    <x v="3"/>
    <x v="3"/>
    <s v="Zaid"/>
    <x v="1"/>
    <n v="72.34"/>
    <n v="413.21"/>
    <n v="5712"/>
    <x v="2"/>
    <x v="2"/>
    <n v="112.74"/>
    <x v="367"/>
    <s v="Black"/>
    <x v="335"/>
    <x v="28"/>
    <n v="78.960464473320428"/>
  </r>
  <r>
    <s v="CID369"/>
    <d v="2015-02-14T00:00:00"/>
    <n v="2014"/>
    <x v="1"/>
    <x v="1"/>
    <s v="Rabi"/>
    <x v="2"/>
    <n v="10.53"/>
    <n v="57.57"/>
    <n v="5467.56"/>
    <x v="2"/>
    <x v="0"/>
    <n v="140.24"/>
    <x v="368"/>
    <s v="Alluvial"/>
    <x v="336"/>
    <x v="129"/>
    <n v="519.23646723646732"/>
  </r>
  <r>
    <s v="CID370"/>
    <d v="2019-10-03T00:00:00"/>
    <n v="2019"/>
    <x v="2"/>
    <x v="19"/>
    <s v="Kharif"/>
    <x v="1"/>
    <n v="58.01"/>
    <n v="283.95"/>
    <n v="4894.79"/>
    <x v="3"/>
    <x v="1"/>
    <n v="294.83999999999997"/>
    <x v="369"/>
    <s v="Alluvial"/>
    <x v="337"/>
    <x v="79"/>
    <n v="84.378383037407346"/>
  </r>
  <r>
    <s v="CID371"/>
    <d v="2020-03-26T00:00:00"/>
    <n v="2019"/>
    <x v="1"/>
    <x v="14"/>
    <s v="Rabi"/>
    <x v="3"/>
    <n v="63.54"/>
    <n v="118.76"/>
    <n v="1869.09"/>
    <x v="3"/>
    <x v="1"/>
    <n v="210.15"/>
    <x v="370"/>
    <s v="Laterite"/>
    <x v="338"/>
    <x v="86"/>
    <n v="29.415958451369214"/>
  </r>
  <r>
    <s v="CID372"/>
    <d v="2011-09-22T00:00:00"/>
    <n v="2011"/>
    <x v="4"/>
    <x v="4"/>
    <s v="Kharif"/>
    <x v="0"/>
    <n v="23.59"/>
    <n v="68.44"/>
    <n v="2901.27"/>
    <x v="2"/>
    <x v="4"/>
    <n v="227.61"/>
    <x v="371"/>
    <s v="Laterite"/>
    <x v="339"/>
    <x v="114"/>
    <n v="122.98728274692667"/>
  </r>
  <r>
    <s v="CID373"/>
    <d v="2019-02-10T00:00:00"/>
    <n v="2018"/>
    <x v="0"/>
    <x v="6"/>
    <s v="Rabi"/>
    <x v="3"/>
    <n v="17.559999999999999"/>
    <n v="107.56"/>
    <n v="6125.27"/>
    <x v="3"/>
    <x v="0"/>
    <n v="231.94"/>
    <x v="372"/>
    <s v="Black"/>
    <x v="340"/>
    <x v="130"/>
    <n v="348.8194760820046"/>
  </r>
  <r>
    <s v="CID374"/>
    <d v="2017-05-27T00:00:00"/>
    <n v="2017"/>
    <x v="1"/>
    <x v="1"/>
    <s v="Zaid"/>
    <x v="5"/>
    <n v="3.61"/>
    <n v="12.21"/>
    <n v="3382.08"/>
    <x v="0"/>
    <x v="1"/>
    <n v="75.98"/>
    <x v="373"/>
    <s v="Black"/>
    <x v="84"/>
    <x v="121"/>
    <n v="936.86426592797784"/>
  </r>
  <r>
    <s v="CID375"/>
    <d v="2013-04-30T00:00:00"/>
    <n v="2013"/>
    <x v="2"/>
    <x v="13"/>
    <s v="Zaid"/>
    <x v="0"/>
    <n v="44.87"/>
    <n v="78.900000000000006"/>
    <n v="1758.47"/>
    <x v="3"/>
    <x v="3"/>
    <n v="57.14"/>
    <x v="374"/>
    <s v="Alluvial"/>
    <x v="341"/>
    <x v="1"/>
    <n v="39.190327613104529"/>
  </r>
  <r>
    <s v="CID376"/>
    <d v="2017-10-15T00:00:00"/>
    <n v="2017"/>
    <x v="2"/>
    <x v="19"/>
    <s v="Kharif"/>
    <x v="2"/>
    <n v="54.39"/>
    <n v="247.2"/>
    <n v="4544.99"/>
    <x v="1"/>
    <x v="4"/>
    <n v="207.76"/>
    <x v="375"/>
    <s v="Sandy"/>
    <x v="342"/>
    <x v="131"/>
    <n v="83.562971134399703"/>
  </r>
  <r>
    <s v="CID377"/>
    <d v="2018-07-05T00:00:00"/>
    <n v="2018"/>
    <x v="2"/>
    <x v="2"/>
    <s v="Kharif"/>
    <x v="5"/>
    <n v="44.74"/>
    <n v="142.93"/>
    <n v="3194.7"/>
    <x v="2"/>
    <x v="4"/>
    <n v="88.93"/>
    <x v="376"/>
    <s v="Sandy"/>
    <x v="343"/>
    <x v="13"/>
    <n v="71.405900759946348"/>
  </r>
  <r>
    <s v="CID378"/>
    <d v="2018-06-02T00:00:00"/>
    <n v="2018"/>
    <x v="2"/>
    <x v="2"/>
    <s v="Kharif"/>
    <x v="2"/>
    <n v="92.29"/>
    <n v="616.66"/>
    <n v="6681.75"/>
    <x v="1"/>
    <x v="3"/>
    <n v="124.9"/>
    <x v="377"/>
    <s v="Alluvial"/>
    <x v="344"/>
    <x v="132"/>
    <n v="72.399501571134465"/>
  </r>
  <r>
    <s v="CID379"/>
    <d v="2016-04-16T00:00:00"/>
    <n v="2016"/>
    <x v="2"/>
    <x v="13"/>
    <s v="Zaid"/>
    <x v="3"/>
    <n v="40.08"/>
    <n v="79.34"/>
    <n v="1979.62"/>
    <x v="1"/>
    <x v="3"/>
    <n v="257.11"/>
    <x v="378"/>
    <s v="Black"/>
    <x v="345"/>
    <x v="99"/>
    <n v="49.391716566866265"/>
  </r>
  <r>
    <s v="CID380"/>
    <d v="2022-04-08T00:00:00"/>
    <n v="2022"/>
    <x v="4"/>
    <x v="9"/>
    <s v="Zaid"/>
    <x v="2"/>
    <n v="27.91"/>
    <n v="136.5"/>
    <n v="4890.74"/>
    <x v="2"/>
    <x v="1"/>
    <n v="153.22999999999999"/>
    <x v="379"/>
    <s v="Red"/>
    <x v="346"/>
    <x v="72"/>
    <n v="175.23253314224291"/>
  </r>
  <r>
    <s v="CID381"/>
    <d v="2014-04-19T00:00:00"/>
    <n v="2014"/>
    <x v="5"/>
    <x v="8"/>
    <s v="Zaid"/>
    <x v="1"/>
    <n v="49.71"/>
    <n v="145.35"/>
    <n v="2923.86"/>
    <x v="3"/>
    <x v="4"/>
    <n v="62.41"/>
    <x v="380"/>
    <s v="Red"/>
    <x v="347"/>
    <x v="31"/>
    <n v="58.818346409173209"/>
  </r>
  <r>
    <s v="CID382"/>
    <d v="2017-04-30T00:00:00"/>
    <n v="2017"/>
    <x v="6"/>
    <x v="20"/>
    <s v="Zaid"/>
    <x v="5"/>
    <n v="24.05"/>
    <n v="45.79"/>
    <n v="1904.1"/>
    <x v="1"/>
    <x v="0"/>
    <n v="104.3"/>
    <x v="381"/>
    <s v="Laterite"/>
    <x v="222"/>
    <x v="17"/>
    <n v="79.172557172557163"/>
  </r>
  <r>
    <s v="CID383"/>
    <d v="2022-06-04T00:00:00"/>
    <n v="2022"/>
    <x v="2"/>
    <x v="13"/>
    <s v="Kharif"/>
    <x v="5"/>
    <n v="27.38"/>
    <n v="91.85"/>
    <n v="3354.53"/>
    <x v="1"/>
    <x v="0"/>
    <n v="95.4"/>
    <x v="382"/>
    <s v="Alluvial"/>
    <x v="348"/>
    <x v="24"/>
    <n v="122.51753104455808"/>
  </r>
  <r>
    <s v="CID384"/>
    <d v="2013-12-24T00:00:00"/>
    <n v="2013"/>
    <x v="4"/>
    <x v="9"/>
    <s v="Rabi"/>
    <x v="3"/>
    <n v="25.47"/>
    <n v="177.45"/>
    <n v="6967.21"/>
    <x v="3"/>
    <x v="1"/>
    <n v="165.21"/>
    <x v="383"/>
    <s v="Sandy"/>
    <x v="349"/>
    <x v="112"/>
    <n v="273.54574008637616"/>
  </r>
  <r>
    <s v="CID385"/>
    <d v="2014-11-14T00:00:00"/>
    <n v="2014"/>
    <x v="3"/>
    <x v="12"/>
    <s v="Rabi"/>
    <x v="4"/>
    <n v="63.29"/>
    <n v="79.31"/>
    <n v="1253.1199999999999"/>
    <x v="0"/>
    <x v="2"/>
    <n v="113.33"/>
    <x v="384"/>
    <s v="Red"/>
    <x v="350"/>
    <x v="39"/>
    <n v="19.799652393743084"/>
  </r>
  <r>
    <s v="CID386"/>
    <d v="2021-03-02T00:00:00"/>
    <n v="2020"/>
    <x v="1"/>
    <x v="1"/>
    <s v="Rabi"/>
    <x v="0"/>
    <n v="2.4900000000000002"/>
    <n v="14.36"/>
    <n v="5766.34"/>
    <x v="0"/>
    <x v="3"/>
    <n v="148.94999999999999"/>
    <x v="385"/>
    <s v="Black"/>
    <x v="351"/>
    <x v="34"/>
    <n v="2315.7991967871485"/>
  </r>
  <r>
    <s v="CID387"/>
    <d v="2022-07-10T00:00:00"/>
    <n v="2022"/>
    <x v="6"/>
    <x v="18"/>
    <s v="Kharif"/>
    <x v="4"/>
    <n v="16.61"/>
    <n v="25.72"/>
    <n v="1548.41"/>
    <x v="2"/>
    <x v="3"/>
    <n v="282.70999999999998"/>
    <x v="386"/>
    <s v="Black"/>
    <x v="352"/>
    <x v="70"/>
    <n v="93.221553281155934"/>
  </r>
  <r>
    <s v="CID388"/>
    <d v="2013-02-05T00:00:00"/>
    <n v="2012"/>
    <x v="4"/>
    <x v="4"/>
    <s v="Rabi"/>
    <x v="4"/>
    <n v="32.36"/>
    <n v="140.77000000000001"/>
    <n v="4350.1000000000004"/>
    <x v="2"/>
    <x v="4"/>
    <n v="251.38"/>
    <x v="387"/>
    <s v="Red"/>
    <x v="353"/>
    <x v="15"/>
    <n v="134.42830655129791"/>
  </r>
  <r>
    <s v="CID389"/>
    <d v="2014-09-28T00:00:00"/>
    <n v="2014"/>
    <x v="0"/>
    <x v="0"/>
    <s v="Kharif"/>
    <x v="3"/>
    <n v="70.959999999999994"/>
    <n v="308.97000000000003"/>
    <n v="4354.1499999999996"/>
    <x v="1"/>
    <x v="4"/>
    <n v="97.44"/>
    <x v="388"/>
    <s v="Alluvial"/>
    <x v="88"/>
    <x v="133"/>
    <n v="61.360625704622322"/>
  </r>
  <r>
    <s v="CID390"/>
    <d v="2018-07-18T00:00:00"/>
    <n v="2018"/>
    <x v="4"/>
    <x v="9"/>
    <s v="Kharif"/>
    <x v="5"/>
    <n v="53.58"/>
    <n v="198.05"/>
    <n v="3696.31"/>
    <x v="2"/>
    <x v="0"/>
    <n v="185.4"/>
    <x v="389"/>
    <s v="Sandy"/>
    <x v="354"/>
    <x v="13"/>
    <n v="68.986748786860772"/>
  </r>
  <r>
    <s v="CID391"/>
    <d v="2022-04-19T00:00:00"/>
    <n v="2022"/>
    <x v="5"/>
    <x v="8"/>
    <s v="Zaid"/>
    <x v="4"/>
    <n v="32.75"/>
    <n v="45.2"/>
    <n v="1380.05"/>
    <x v="1"/>
    <x v="4"/>
    <n v="97.47"/>
    <x v="390"/>
    <s v="Sandy"/>
    <x v="355"/>
    <x v="72"/>
    <n v="42.138931297709924"/>
  </r>
  <r>
    <s v="CID392"/>
    <d v="2015-06-26T00:00:00"/>
    <n v="2015"/>
    <x v="3"/>
    <x v="12"/>
    <s v="Kharif"/>
    <x v="5"/>
    <n v="52.8"/>
    <n v="73.92"/>
    <n v="1400.08"/>
    <x v="3"/>
    <x v="0"/>
    <n v="94.66"/>
    <x v="391"/>
    <s v="Black"/>
    <x v="356"/>
    <x v="134"/>
    <n v="26.516666666666666"/>
  </r>
  <r>
    <s v="CID393"/>
    <d v="2016-05-29T00:00:00"/>
    <n v="2016"/>
    <x v="5"/>
    <x v="15"/>
    <s v="Zaid"/>
    <x v="3"/>
    <n v="53.06"/>
    <n v="276.33"/>
    <n v="5207.88"/>
    <x v="2"/>
    <x v="2"/>
    <n v="62.27"/>
    <x v="392"/>
    <s v="Black"/>
    <x v="357"/>
    <x v="30"/>
    <n v="98.150772710139464"/>
  </r>
  <r>
    <s v="CID394"/>
    <d v="2012-01-08T00:00:00"/>
    <n v="2011"/>
    <x v="0"/>
    <x v="11"/>
    <s v="Rabi"/>
    <x v="2"/>
    <n v="7.01"/>
    <n v="30.48"/>
    <n v="4348.12"/>
    <x v="1"/>
    <x v="3"/>
    <n v="255.51"/>
    <x v="393"/>
    <s v="Black"/>
    <x v="199"/>
    <x v="26"/>
    <n v="620.2738944365193"/>
  </r>
  <r>
    <s v="CID395"/>
    <d v="2012-03-14T00:00:00"/>
    <n v="2011"/>
    <x v="1"/>
    <x v="10"/>
    <s v="Rabi"/>
    <x v="5"/>
    <n v="94.52"/>
    <n v="639.29"/>
    <n v="6763.52"/>
    <x v="0"/>
    <x v="2"/>
    <n v="75.31"/>
    <x v="394"/>
    <s v="Laterite"/>
    <x v="358"/>
    <x v="46"/>
    <n v="71.556495979686844"/>
  </r>
  <r>
    <s v="CID396"/>
    <d v="2012-04-11T00:00:00"/>
    <n v="2012"/>
    <x v="5"/>
    <x v="15"/>
    <s v="Zaid"/>
    <x v="2"/>
    <n v="56.26"/>
    <n v="308.12"/>
    <n v="5476.65"/>
    <x v="2"/>
    <x v="2"/>
    <n v="218.62"/>
    <x v="395"/>
    <s v="Laterite"/>
    <x v="359"/>
    <x v="101"/>
    <n v="97.345360824742258"/>
  </r>
  <r>
    <s v="CID397"/>
    <d v="2019-01-23T00:00:00"/>
    <n v="2018"/>
    <x v="5"/>
    <x v="8"/>
    <s v="Rabi"/>
    <x v="2"/>
    <n v="16.66"/>
    <n v="116.46"/>
    <n v="6990.6"/>
    <x v="1"/>
    <x v="4"/>
    <n v="283.38"/>
    <x v="396"/>
    <s v="Sandy"/>
    <x v="360"/>
    <x v="95"/>
    <n v="419.60384153661465"/>
  </r>
  <r>
    <s v="CID398"/>
    <d v="2016-04-29T00:00:00"/>
    <n v="2016"/>
    <x v="3"/>
    <x v="12"/>
    <s v="Zaid"/>
    <x v="0"/>
    <n v="61.23"/>
    <n v="268.12"/>
    <n v="4378.87"/>
    <x v="3"/>
    <x v="1"/>
    <n v="143.77000000000001"/>
    <x v="397"/>
    <s v="Alluvial"/>
    <x v="182"/>
    <x v="99"/>
    <n v="71.515106973705699"/>
  </r>
  <r>
    <s v="CID399"/>
    <d v="2021-06-06T00:00:00"/>
    <n v="2021"/>
    <x v="3"/>
    <x v="3"/>
    <s v="Kharif"/>
    <x v="0"/>
    <n v="59.98"/>
    <n v="246.26"/>
    <n v="4105.66"/>
    <x v="2"/>
    <x v="4"/>
    <n v="51.64"/>
    <x v="398"/>
    <s v="Red"/>
    <x v="361"/>
    <x v="12"/>
    <n v="68.450483494498172"/>
  </r>
  <r>
    <s v="CID400"/>
    <d v="2018-04-17T00:00:00"/>
    <n v="2018"/>
    <x v="5"/>
    <x v="15"/>
    <s v="Zaid"/>
    <x v="1"/>
    <n v="16.32"/>
    <n v="20.02"/>
    <n v="1226.42"/>
    <x v="2"/>
    <x v="4"/>
    <n v="89.03"/>
    <x v="399"/>
    <s v="Sandy"/>
    <x v="362"/>
    <x v="59"/>
    <n v="75.148284313725497"/>
  </r>
  <r>
    <s v="CID401"/>
    <d v="2016-04-07T00:00:00"/>
    <n v="2016"/>
    <x v="1"/>
    <x v="10"/>
    <s v="Zaid"/>
    <x v="4"/>
    <n v="73.69"/>
    <n v="393.61"/>
    <n v="5341.48"/>
    <x v="1"/>
    <x v="3"/>
    <n v="93.23"/>
    <x v="400"/>
    <s v="Sandy"/>
    <x v="363"/>
    <x v="99"/>
    <n v="72.485818971366527"/>
  </r>
  <r>
    <s v="CID402"/>
    <d v="2010-04-08T00:00:00"/>
    <n v="2010"/>
    <x v="0"/>
    <x v="11"/>
    <s v="Zaid"/>
    <x v="1"/>
    <n v="38.770000000000003"/>
    <n v="220.24"/>
    <n v="5680.73"/>
    <x v="2"/>
    <x v="2"/>
    <n v="136.97999999999999"/>
    <x v="401"/>
    <s v="Laterite"/>
    <x v="364"/>
    <x v="0"/>
    <n v="146.52385865359813"/>
  </r>
  <r>
    <s v="CID403"/>
    <d v="2019-10-07T00:00:00"/>
    <n v="2019"/>
    <x v="0"/>
    <x v="6"/>
    <s v="Kharif"/>
    <x v="2"/>
    <n v="77.959999999999994"/>
    <n v="256.87"/>
    <n v="3294.92"/>
    <x v="2"/>
    <x v="2"/>
    <n v="181.1"/>
    <x v="402"/>
    <s v="Sandy"/>
    <x v="56"/>
    <x v="79"/>
    <n v="42.264238070805547"/>
  </r>
  <r>
    <s v="CID404"/>
    <d v="2020-04-22T00:00:00"/>
    <n v="2020"/>
    <x v="6"/>
    <x v="17"/>
    <s v="Zaid"/>
    <x v="3"/>
    <n v="97.13"/>
    <n v="535.87"/>
    <n v="5517.04"/>
    <x v="0"/>
    <x v="0"/>
    <n v="105.52"/>
    <x v="403"/>
    <s v="Laterite"/>
    <x v="365"/>
    <x v="56"/>
    <n v="56.800576546895918"/>
  </r>
  <r>
    <s v="CID405"/>
    <d v="2021-07-21T00:00:00"/>
    <n v="2021"/>
    <x v="3"/>
    <x v="12"/>
    <s v="Kharif"/>
    <x v="1"/>
    <n v="40.520000000000003"/>
    <n v="61.2"/>
    <n v="1510.47"/>
    <x v="1"/>
    <x v="1"/>
    <n v="243.46"/>
    <x v="404"/>
    <s v="Red"/>
    <x v="366"/>
    <x v="40"/>
    <n v="37.277147087857848"/>
  </r>
  <r>
    <s v="CID406"/>
    <d v="2019-10-26T00:00:00"/>
    <n v="2019"/>
    <x v="3"/>
    <x v="12"/>
    <s v="Kharif"/>
    <x v="1"/>
    <n v="61.98"/>
    <n v="335.56"/>
    <n v="5414.01"/>
    <x v="3"/>
    <x v="0"/>
    <n v="110.58"/>
    <x v="405"/>
    <s v="Laterite"/>
    <x v="367"/>
    <x v="79"/>
    <n v="87.35091965150049"/>
  </r>
  <r>
    <s v="CID407"/>
    <d v="2017-02-22T00:00:00"/>
    <n v="2016"/>
    <x v="1"/>
    <x v="10"/>
    <s v="Rabi"/>
    <x v="0"/>
    <n v="35.479999999999997"/>
    <n v="103.76"/>
    <n v="2924.43"/>
    <x v="0"/>
    <x v="3"/>
    <n v="242.42"/>
    <x v="406"/>
    <s v="Alluvial"/>
    <x v="209"/>
    <x v="27"/>
    <n v="82.424746335963931"/>
  </r>
  <r>
    <s v="CID408"/>
    <d v="2010-08-13T00:00:00"/>
    <n v="2010"/>
    <x v="6"/>
    <x v="18"/>
    <s v="Kharif"/>
    <x v="4"/>
    <n v="68.849999999999994"/>
    <n v="133.29"/>
    <n v="1935.95"/>
    <x v="0"/>
    <x v="0"/>
    <n v="78.09"/>
    <x v="407"/>
    <s v="Sandy"/>
    <x v="368"/>
    <x v="82"/>
    <n v="28.118373275236024"/>
  </r>
  <r>
    <s v="CID409"/>
    <d v="2022-08-06T00:00:00"/>
    <n v="2022"/>
    <x v="2"/>
    <x v="19"/>
    <s v="Kharif"/>
    <x v="0"/>
    <n v="45.56"/>
    <n v="51.78"/>
    <n v="1136.49"/>
    <x v="3"/>
    <x v="3"/>
    <n v="235"/>
    <x v="408"/>
    <s v="Sandy"/>
    <x v="369"/>
    <x v="125"/>
    <n v="24.944907813871815"/>
  </r>
  <r>
    <s v="CID410"/>
    <d v="2021-08-09T00:00:00"/>
    <n v="2021"/>
    <x v="3"/>
    <x v="12"/>
    <s v="Kharif"/>
    <x v="2"/>
    <n v="70.180000000000007"/>
    <n v="77.92"/>
    <n v="1110.33"/>
    <x v="0"/>
    <x v="0"/>
    <n v="113.86"/>
    <x v="409"/>
    <s v="Red"/>
    <x v="189"/>
    <x v="135"/>
    <n v="15.821174123681958"/>
  </r>
  <r>
    <s v="CID411"/>
    <d v="2010-09-06T00:00:00"/>
    <n v="2010"/>
    <x v="3"/>
    <x v="12"/>
    <s v="Kharif"/>
    <x v="3"/>
    <n v="66.38"/>
    <n v="330.43"/>
    <n v="4977.8900000000003"/>
    <x v="2"/>
    <x v="3"/>
    <n v="266.07"/>
    <x v="410"/>
    <s v="Laterite"/>
    <x v="370"/>
    <x v="21"/>
    <n v="74.990810485085873"/>
  </r>
  <r>
    <s v="CID412"/>
    <d v="2016-03-15T00:00:00"/>
    <n v="2015"/>
    <x v="0"/>
    <x v="0"/>
    <s v="Rabi"/>
    <x v="1"/>
    <n v="53.62"/>
    <n v="113.59"/>
    <n v="2118.5"/>
    <x v="1"/>
    <x v="4"/>
    <n v="190.17"/>
    <x v="411"/>
    <s v="Black"/>
    <x v="371"/>
    <x v="105"/>
    <n v="39.509511376352108"/>
  </r>
  <r>
    <s v="CID413"/>
    <d v="2016-04-04T00:00:00"/>
    <n v="2016"/>
    <x v="2"/>
    <x v="2"/>
    <s v="Zaid"/>
    <x v="4"/>
    <n v="2.82"/>
    <n v="14.4"/>
    <n v="5105.87"/>
    <x v="2"/>
    <x v="4"/>
    <n v="206.31"/>
    <x v="412"/>
    <s v="Sandy"/>
    <x v="372"/>
    <x v="99"/>
    <n v="1810.5921985815603"/>
  </r>
  <r>
    <s v="CID414"/>
    <d v="2018-12-29T00:00:00"/>
    <n v="2018"/>
    <x v="3"/>
    <x v="3"/>
    <s v="Rabi"/>
    <x v="4"/>
    <n v="16.02"/>
    <n v="102.26"/>
    <n v="6383.05"/>
    <x v="3"/>
    <x v="1"/>
    <n v="71.95"/>
    <x v="413"/>
    <s v="Sandy"/>
    <x v="144"/>
    <x v="29"/>
    <n v="398.44257178526846"/>
  </r>
  <r>
    <s v="CID415"/>
    <d v="2012-12-22T00:00:00"/>
    <n v="2012"/>
    <x v="6"/>
    <x v="20"/>
    <s v="Rabi"/>
    <x v="0"/>
    <n v="91.06"/>
    <n v="270.97000000000003"/>
    <n v="2975.71"/>
    <x v="3"/>
    <x v="2"/>
    <n v="101.69"/>
    <x v="414"/>
    <s v="Sandy"/>
    <x v="373"/>
    <x v="113"/>
    <n v="32.678563584449812"/>
  </r>
  <r>
    <s v="CID416"/>
    <d v="2021-05-06T00:00:00"/>
    <n v="2021"/>
    <x v="2"/>
    <x v="19"/>
    <s v="Zaid"/>
    <x v="4"/>
    <n v="43.58"/>
    <n v="281.27"/>
    <n v="6454.01"/>
    <x v="3"/>
    <x v="3"/>
    <n v="214.06"/>
    <x v="415"/>
    <s v="Red"/>
    <x v="146"/>
    <x v="91"/>
    <n v="148.09568609453879"/>
  </r>
  <r>
    <s v="CID417"/>
    <d v="2012-12-19T00:00:00"/>
    <n v="2012"/>
    <x v="0"/>
    <x v="0"/>
    <s v="Rabi"/>
    <x v="4"/>
    <n v="72.98"/>
    <n v="408.15"/>
    <n v="5592.61"/>
    <x v="1"/>
    <x v="0"/>
    <n v="290.3"/>
    <x v="416"/>
    <s v="Alluvial"/>
    <x v="374"/>
    <x v="113"/>
    <n v="76.632090983831176"/>
  </r>
  <r>
    <s v="CID418"/>
    <d v="2010-05-15T00:00:00"/>
    <n v="2010"/>
    <x v="6"/>
    <x v="17"/>
    <s v="Zaid"/>
    <x v="1"/>
    <n v="27.42"/>
    <n v="120.71"/>
    <n v="4402.26"/>
    <x v="3"/>
    <x v="1"/>
    <n v="199.09"/>
    <x v="417"/>
    <s v="Black"/>
    <x v="375"/>
    <x v="61"/>
    <n v="160.5492341356674"/>
  </r>
  <r>
    <s v="CID419"/>
    <d v="2020-02-13T00:00:00"/>
    <n v="2019"/>
    <x v="6"/>
    <x v="20"/>
    <s v="Rabi"/>
    <x v="2"/>
    <n v="65.31"/>
    <n v="137.4"/>
    <n v="2103.86"/>
    <x v="1"/>
    <x v="0"/>
    <n v="172.86"/>
    <x v="418"/>
    <s v="Red"/>
    <x v="248"/>
    <x v="78"/>
    <n v="32.213443576787633"/>
  </r>
  <r>
    <s v="CID420"/>
    <d v="2013-05-02T00:00:00"/>
    <n v="2013"/>
    <x v="2"/>
    <x v="2"/>
    <s v="Zaid"/>
    <x v="2"/>
    <n v="98.84"/>
    <n v="548.23"/>
    <n v="5546.66"/>
    <x v="0"/>
    <x v="4"/>
    <n v="94.27"/>
    <x v="419"/>
    <s v="Laterite"/>
    <x v="376"/>
    <x v="67"/>
    <n v="56.11756373937677"/>
  </r>
  <r>
    <s v="CID421"/>
    <d v="2014-03-15T00:00:00"/>
    <n v="2013"/>
    <x v="4"/>
    <x v="16"/>
    <s v="Rabi"/>
    <x v="3"/>
    <n v="77.849999999999994"/>
    <n v="361.81"/>
    <n v="4647.58"/>
    <x v="1"/>
    <x v="0"/>
    <n v="230.05"/>
    <x v="420"/>
    <s v="Sandy"/>
    <x v="377"/>
    <x v="37"/>
    <n v="59.699165061014774"/>
  </r>
  <r>
    <s v="CID422"/>
    <d v="2017-11-13T00:00:00"/>
    <n v="2017"/>
    <x v="5"/>
    <x v="7"/>
    <s v="Rabi"/>
    <x v="5"/>
    <n v="87.9"/>
    <n v="217.49"/>
    <n v="2474.33"/>
    <x v="1"/>
    <x v="2"/>
    <n v="295.95999999999998"/>
    <x v="421"/>
    <s v="Laterite"/>
    <x v="321"/>
    <x v="54"/>
    <n v="28.149374288964729"/>
  </r>
  <r>
    <s v="CID423"/>
    <d v="2017-02-24T00:00:00"/>
    <n v="2016"/>
    <x v="2"/>
    <x v="2"/>
    <s v="Rabi"/>
    <x v="0"/>
    <n v="46.67"/>
    <n v="164.97"/>
    <n v="3534.77"/>
    <x v="0"/>
    <x v="0"/>
    <n v="222.49"/>
    <x v="422"/>
    <s v="Laterite"/>
    <x v="378"/>
    <x v="27"/>
    <n v="75.739661452753367"/>
  </r>
  <r>
    <s v="CID424"/>
    <d v="2011-10-30T00:00:00"/>
    <n v="2011"/>
    <x v="0"/>
    <x v="6"/>
    <s v="Kharif"/>
    <x v="1"/>
    <n v="93.85"/>
    <n v="485.83"/>
    <n v="5176.68"/>
    <x v="3"/>
    <x v="2"/>
    <n v="148.27000000000001"/>
    <x v="423"/>
    <s v="Black"/>
    <x v="30"/>
    <x v="64"/>
    <n v="55.159083644112954"/>
  </r>
  <r>
    <s v="CID425"/>
    <d v="2015-02-01T00:00:00"/>
    <n v="2014"/>
    <x v="3"/>
    <x v="3"/>
    <s v="Rabi"/>
    <x v="2"/>
    <n v="65.209999999999994"/>
    <n v="343.58"/>
    <n v="5268.82"/>
    <x v="3"/>
    <x v="0"/>
    <n v="229.59"/>
    <x v="424"/>
    <s v="Black"/>
    <x v="379"/>
    <x v="129"/>
    <n v="80.797730409446402"/>
  </r>
  <r>
    <s v="CID426"/>
    <d v="2016-05-13T00:00:00"/>
    <n v="2016"/>
    <x v="5"/>
    <x v="15"/>
    <s v="Zaid"/>
    <x v="1"/>
    <n v="61.6"/>
    <n v="120.7"/>
    <n v="1959.4"/>
    <x v="1"/>
    <x v="2"/>
    <n v="60.98"/>
    <x v="425"/>
    <s v="Alluvial"/>
    <x v="175"/>
    <x v="30"/>
    <n v="31.808441558441558"/>
  </r>
  <r>
    <s v="CID427"/>
    <d v="2012-04-01T00:00:00"/>
    <n v="2012"/>
    <x v="6"/>
    <x v="17"/>
    <s v="Zaid"/>
    <x v="5"/>
    <n v="42.54"/>
    <n v="121.54"/>
    <n v="2857.11"/>
    <x v="1"/>
    <x v="3"/>
    <n v="122.2"/>
    <x v="426"/>
    <s v="Red"/>
    <x v="380"/>
    <x v="101"/>
    <n v="67.162905500705222"/>
  </r>
  <r>
    <s v="CID428"/>
    <d v="2011-03-02T00:00:00"/>
    <n v="2010"/>
    <x v="4"/>
    <x v="16"/>
    <s v="Rabi"/>
    <x v="3"/>
    <n v="85.69"/>
    <n v="365.13"/>
    <n v="4261.01"/>
    <x v="0"/>
    <x v="1"/>
    <n v="202"/>
    <x v="427"/>
    <s v="Red"/>
    <x v="381"/>
    <x v="88"/>
    <n v="49.725872330493644"/>
  </r>
  <r>
    <s v="CID429"/>
    <d v="2011-04-10T00:00:00"/>
    <n v="2011"/>
    <x v="3"/>
    <x v="5"/>
    <s v="Zaid"/>
    <x v="1"/>
    <n v="1.65"/>
    <n v="10.38"/>
    <n v="6293.01"/>
    <x v="2"/>
    <x v="0"/>
    <n v="204.94"/>
    <x v="428"/>
    <s v="Red"/>
    <x v="382"/>
    <x v="62"/>
    <n v="3813.945454545455"/>
  </r>
  <r>
    <s v="CID430"/>
    <d v="2010-07-16T00:00:00"/>
    <n v="2010"/>
    <x v="0"/>
    <x v="11"/>
    <s v="Kharif"/>
    <x v="5"/>
    <n v="67.03"/>
    <n v="404.06"/>
    <n v="6028.09"/>
    <x v="2"/>
    <x v="2"/>
    <n v="132.78"/>
    <x v="429"/>
    <s v="Black"/>
    <x v="273"/>
    <x v="126"/>
    <n v="89.931224824705353"/>
  </r>
  <r>
    <s v="CID431"/>
    <d v="2019-04-06T00:00:00"/>
    <n v="2019"/>
    <x v="0"/>
    <x v="11"/>
    <s v="Zaid"/>
    <x v="2"/>
    <n v="70.28"/>
    <n v="311.60000000000002"/>
    <n v="4433.7"/>
    <x v="3"/>
    <x v="4"/>
    <n v="291.57"/>
    <x v="430"/>
    <s v="Alluvial"/>
    <x v="383"/>
    <x v="38"/>
    <n v="63.086226522481496"/>
  </r>
  <r>
    <s v="CID432"/>
    <d v="2016-09-14T00:00:00"/>
    <n v="2016"/>
    <x v="2"/>
    <x v="2"/>
    <s v="Kharif"/>
    <x v="3"/>
    <n v="84.49"/>
    <n v="117.4"/>
    <n v="1389.56"/>
    <x v="1"/>
    <x v="3"/>
    <n v="83.64"/>
    <x v="431"/>
    <s v="Alluvial"/>
    <x v="384"/>
    <x v="123"/>
    <n v="16.446443366078825"/>
  </r>
  <r>
    <s v="CID433"/>
    <d v="2013-05-25T00:00:00"/>
    <n v="2013"/>
    <x v="6"/>
    <x v="20"/>
    <s v="Zaid"/>
    <x v="5"/>
    <n v="11.82"/>
    <n v="63.57"/>
    <n v="5378.37"/>
    <x v="0"/>
    <x v="4"/>
    <n v="170.92"/>
    <x v="432"/>
    <s v="Alluvial"/>
    <x v="385"/>
    <x v="67"/>
    <n v="455.02284263959388"/>
  </r>
  <r>
    <s v="CID434"/>
    <d v="2019-05-27T00:00:00"/>
    <n v="2019"/>
    <x v="2"/>
    <x v="19"/>
    <s v="Zaid"/>
    <x v="0"/>
    <n v="92.78"/>
    <n v="434.74"/>
    <n v="4685.74"/>
    <x v="1"/>
    <x v="3"/>
    <n v="179.93"/>
    <x v="433"/>
    <s v="Laterite"/>
    <x v="386"/>
    <x v="51"/>
    <n v="50.503772364733777"/>
  </r>
  <r>
    <s v="CID435"/>
    <d v="2014-09-14T00:00:00"/>
    <n v="2014"/>
    <x v="6"/>
    <x v="20"/>
    <s v="Kharif"/>
    <x v="5"/>
    <n v="12.7"/>
    <n v="48.12"/>
    <n v="3789.31"/>
    <x v="0"/>
    <x v="0"/>
    <n v="234.37"/>
    <x v="434"/>
    <s v="Sandy"/>
    <x v="387"/>
    <x v="133"/>
    <n v="298.37086614173228"/>
  </r>
  <r>
    <s v="CID436"/>
    <d v="2018-04-21T00:00:00"/>
    <n v="2018"/>
    <x v="2"/>
    <x v="2"/>
    <s v="Zaid"/>
    <x v="4"/>
    <n v="2.12"/>
    <n v="4.68"/>
    <n v="2207.12"/>
    <x v="2"/>
    <x v="0"/>
    <n v="113.6"/>
    <x v="435"/>
    <s v="Alluvial"/>
    <x v="388"/>
    <x v="59"/>
    <n v="1041.0943396226414"/>
  </r>
  <r>
    <s v="CID437"/>
    <d v="2016-03-02T00:00:00"/>
    <n v="2015"/>
    <x v="1"/>
    <x v="10"/>
    <s v="Rabi"/>
    <x v="3"/>
    <n v="72.72"/>
    <n v="341.49"/>
    <n v="4695.96"/>
    <x v="0"/>
    <x v="1"/>
    <n v="258.01"/>
    <x v="436"/>
    <s v="Alluvial"/>
    <x v="389"/>
    <x v="105"/>
    <n v="64.575907590759073"/>
  </r>
  <r>
    <s v="CID438"/>
    <d v="2020-08-16T00:00:00"/>
    <n v="2020"/>
    <x v="4"/>
    <x v="4"/>
    <s v="Kharif"/>
    <x v="3"/>
    <n v="16.38"/>
    <n v="61.65"/>
    <n v="3763.71"/>
    <x v="2"/>
    <x v="3"/>
    <n v="165.62"/>
    <x v="437"/>
    <s v="Black"/>
    <x v="390"/>
    <x v="66"/>
    <n v="229.77472527472528"/>
  </r>
  <r>
    <s v="CID439"/>
    <d v="2015-04-10T00:00:00"/>
    <n v="2015"/>
    <x v="0"/>
    <x v="6"/>
    <s v="Zaid"/>
    <x v="1"/>
    <n v="2.85"/>
    <n v="12.72"/>
    <n v="4464.3900000000003"/>
    <x v="2"/>
    <x v="4"/>
    <n v="249.88"/>
    <x v="438"/>
    <s v="Alluvial"/>
    <x v="391"/>
    <x v="93"/>
    <n v="1566.4526315789474"/>
  </r>
  <r>
    <s v="CID440"/>
    <d v="2016-01-20T00:00:00"/>
    <n v="2015"/>
    <x v="4"/>
    <x v="4"/>
    <s v="Rabi"/>
    <x v="2"/>
    <n v="53.89"/>
    <n v="107.55"/>
    <n v="1995.82"/>
    <x v="1"/>
    <x v="0"/>
    <n v="96.84"/>
    <x v="439"/>
    <s v="Alluvial"/>
    <x v="392"/>
    <x v="136"/>
    <n v="37.035071441825941"/>
  </r>
  <r>
    <s v="CID441"/>
    <d v="2011-11-10T00:00:00"/>
    <n v="2011"/>
    <x v="2"/>
    <x v="2"/>
    <s v="Rabi"/>
    <x v="4"/>
    <n v="37.79"/>
    <n v="225.86"/>
    <n v="5976.74"/>
    <x v="2"/>
    <x v="2"/>
    <n v="104.03"/>
    <x v="440"/>
    <s v="Black"/>
    <x v="393"/>
    <x v="73"/>
    <n v="158.1566551997883"/>
  </r>
  <r>
    <s v="CID442"/>
    <d v="2018-08-23T00:00:00"/>
    <n v="2018"/>
    <x v="1"/>
    <x v="14"/>
    <s v="Kharif"/>
    <x v="3"/>
    <n v="90.59"/>
    <n v="174.34"/>
    <n v="1924.47"/>
    <x v="2"/>
    <x v="2"/>
    <n v="280.91000000000003"/>
    <x v="441"/>
    <s v="Sandy"/>
    <x v="394"/>
    <x v="63"/>
    <n v="21.243735511645877"/>
  </r>
  <r>
    <s v="CID443"/>
    <d v="2018-04-03T00:00:00"/>
    <n v="2018"/>
    <x v="4"/>
    <x v="4"/>
    <s v="Zaid"/>
    <x v="4"/>
    <n v="21.31"/>
    <n v="25.98"/>
    <n v="1219.32"/>
    <x v="1"/>
    <x v="3"/>
    <n v="228.42"/>
    <x v="442"/>
    <s v="Black"/>
    <x v="394"/>
    <x v="59"/>
    <n v="57.218207414359455"/>
  </r>
  <r>
    <s v="CID444"/>
    <d v="2015-12-20T00:00:00"/>
    <n v="2015"/>
    <x v="4"/>
    <x v="4"/>
    <s v="Rabi"/>
    <x v="5"/>
    <n v="11.21"/>
    <n v="62.74"/>
    <n v="5597.08"/>
    <x v="2"/>
    <x v="4"/>
    <n v="55.62"/>
    <x v="443"/>
    <s v="Red"/>
    <x v="395"/>
    <x v="137"/>
    <n v="499.29348795718107"/>
  </r>
  <r>
    <s v="CID445"/>
    <d v="2015-12-23T00:00:00"/>
    <n v="2015"/>
    <x v="2"/>
    <x v="19"/>
    <s v="Rabi"/>
    <x v="2"/>
    <n v="12.65"/>
    <n v="23.98"/>
    <n v="1895.92"/>
    <x v="2"/>
    <x v="3"/>
    <n v="78.62"/>
    <x v="444"/>
    <s v="Sandy"/>
    <x v="396"/>
    <x v="137"/>
    <n v="149.87509881422926"/>
  </r>
  <r>
    <s v="CID446"/>
    <d v="2015-11-13T00:00:00"/>
    <n v="2015"/>
    <x v="2"/>
    <x v="19"/>
    <s v="Rabi"/>
    <x v="4"/>
    <n v="94.38"/>
    <n v="549.66999999999996"/>
    <n v="5824.02"/>
    <x v="3"/>
    <x v="2"/>
    <n v="92.82"/>
    <x v="445"/>
    <s v="Alluvial"/>
    <x v="397"/>
    <x v="120"/>
    <n v="61.708200890019079"/>
  </r>
  <r>
    <s v="CID447"/>
    <d v="2020-09-23T00:00:00"/>
    <n v="2020"/>
    <x v="1"/>
    <x v="14"/>
    <s v="Kharif"/>
    <x v="5"/>
    <n v="38.979999999999997"/>
    <n v="59.12"/>
    <n v="1516.72"/>
    <x v="1"/>
    <x v="3"/>
    <n v="94.75"/>
    <x v="446"/>
    <s v="Sandy"/>
    <x v="398"/>
    <x v="41"/>
    <n v="38.910210364289384"/>
  </r>
  <r>
    <s v="CID448"/>
    <d v="2015-06-24T00:00:00"/>
    <n v="2015"/>
    <x v="2"/>
    <x v="2"/>
    <s v="Kharif"/>
    <x v="2"/>
    <n v="76.08"/>
    <n v="445.51"/>
    <n v="5855.8"/>
    <x v="0"/>
    <x v="1"/>
    <n v="293.42"/>
    <x v="447"/>
    <s v="Laterite"/>
    <x v="399"/>
    <x v="134"/>
    <n v="76.968980021030504"/>
  </r>
  <r>
    <s v="CID449"/>
    <d v="2014-04-24T00:00:00"/>
    <n v="2014"/>
    <x v="1"/>
    <x v="14"/>
    <s v="Zaid"/>
    <x v="2"/>
    <n v="71.31"/>
    <n v="270.43"/>
    <n v="3792.38"/>
    <x v="3"/>
    <x v="1"/>
    <n v="286.86"/>
    <x v="448"/>
    <s v="Sandy"/>
    <x v="400"/>
    <x v="31"/>
    <n v="53.181601458420978"/>
  </r>
  <r>
    <s v="CID450"/>
    <d v="2021-01-29T00:00:00"/>
    <n v="2020"/>
    <x v="6"/>
    <x v="20"/>
    <s v="Rabi"/>
    <x v="0"/>
    <n v="45.88"/>
    <n v="54.21"/>
    <n v="1181.58"/>
    <x v="1"/>
    <x v="3"/>
    <n v="78.22"/>
    <x v="449"/>
    <s v="Red"/>
    <x v="401"/>
    <x v="43"/>
    <n v="25.753705318221446"/>
  </r>
  <r>
    <s v="CID451"/>
    <d v="2018-09-11T00:00:00"/>
    <n v="2018"/>
    <x v="5"/>
    <x v="7"/>
    <s v="Kharif"/>
    <x v="3"/>
    <n v="81.94"/>
    <n v="473.66"/>
    <n v="5780.55"/>
    <x v="2"/>
    <x v="3"/>
    <n v="189.04"/>
    <x v="450"/>
    <s v="Alluvial"/>
    <x v="402"/>
    <x v="22"/>
    <n v="70.546131315596782"/>
  </r>
  <r>
    <s v="CID452"/>
    <d v="2019-09-20T00:00:00"/>
    <n v="2019"/>
    <x v="3"/>
    <x v="3"/>
    <s v="Kharif"/>
    <x v="1"/>
    <n v="16.739999999999998"/>
    <n v="65.19"/>
    <n v="3894.25"/>
    <x v="0"/>
    <x v="3"/>
    <n v="135.18"/>
    <x v="451"/>
    <s v="Sandy"/>
    <x v="403"/>
    <x v="77"/>
    <n v="232.631421744325"/>
  </r>
  <r>
    <s v="CID453"/>
    <d v="2018-05-23T00:00:00"/>
    <n v="2018"/>
    <x v="4"/>
    <x v="16"/>
    <s v="Zaid"/>
    <x v="4"/>
    <n v="18.14"/>
    <n v="91.02"/>
    <n v="5017.63"/>
    <x v="1"/>
    <x v="1"/>
    <n v="78.58"/>
    <x v="452"/>
    <s v="Alluvial"/>
    <x v="404"/>
    <x v="92"/>
    <n v="276.60584343991178"/>
  </r>
  <r>
    <s v="CID454"/>
    <d v="2016-07-06T00:00:00"/>
    <n v="2016"/>
    <x v="6"/>
    <x v="18"/>
    <s v="Kharif"/>
    <x v="1"/>
    <n v="11.77"/>
    <n v="69.260000000000005"/>
    <n v="5884.4"/>
    <x v="1"/>
    <x v="3"/>
    <n v="131.85"/>
    <x v="453"/>
    <s v="Black"/>
    <x v="405"/>
    <x v="128"/>
    <n v="499.94902293967715"/>
  </r>
  <r>
    <s v="CID455"/>
    <d v="2022-08-21T00:00:00"/>
    <n v="2022"/>
    <x v="4"/>
    <x v="9"/>
    <s v="Kharif"/>
    <x v="4"/>
    <n v="66.430000000000007"/>
    <n v="246.98"/>
    <n v="3717.85"/>
    <x v="2"/>
    <x v="4"/>
    <n v="147.5"/>
    <x v="454"/>
    <s v="Red"/>
    <x v="406"/>
    <x v="125"/>
    <n v="55.966430829444519"/>
  </r>
  <r>
    <s v="CID456"/>
    <d v="2014-12-03T00:00:00"/>
    <n v="2014"/>
    <x v="5"/>
    <x v="15"/>
    <s v="Rabi"/>
    <x v="2"/>
    <n v="98.28"/>
    <n v="301.29000000000002"/>
    <n v="3065.59"/>
    <x v="0"/>
    <x v="4"/>
    <n v="195.68"/>
    <x v="455"/>
    <s v="Sandy"/>
    <x v="407"/>
    <x v="18"/>
    <n v="31.192409442409442"/>
  </r>
  <r>
    <s v="CID457"/>
    <d v="2018-10-30T00:00:00"/>
    <n v="2018"/>
    <x v="1"/>
    <x v="14"/>
    <s v="Kharif"/>
    <x v="5"/>
    <n v="70.63"/>
    <n v="418.45"/>
    <n v="5924.52"/>
    <x v="2"/>
    <x v="1"/>
    <n v="77.42"/>
    <x v="456"/>
    <s v="Black"/>
    <x v="408"/>
    <x v="9"/>
    <n v="83.881070366699717"/>
  </r>
  <r>
    <s v="CID458"/>
    <d v="2022-02-01T00:00:00"/>
    <n v="2021"/>
    <x v="0"/>
    <x v="11"/>
    <s v="Rabi"/>
    <x v="3"/>
    <n v="38.770000000000003"/>
    <n v="165.58"/>
    <n v="4270.71"/>
    <x v="3"/>
    <x v="1"/>
    <n v="168.72"/>
    <x v="457"/>
    <s v="Laterite"/>
    <x v="409"/>
    <x v="55"/>
    <n v="110.15501676554035"/>
  </r>
  <r>
    <s v="CID459"/>
    <d v="2020-07-05T00:00:00"/>
    <n v="2020"/>
    <x v="6"/>
    <x v="18"/>
    <s v="Kharif"/>
    <x v="4"/>
    <n v="2.15"/>
    <n v="10.51"/>
    <n v="4890.34"/>
    <x v="3"/>
    <x v="0"/>
    <n v="230.33"/>
    <x v="458"/>
    <s v="Laterite"/>
    <x v="410"/>
    <x v="138"/>
    <n v="2274.5767441860467"/>
  </r>
  <r>
    <s v="CID460"/>
    <d v="2023-02-24T00:00:00"/>
    <n v="2022"/>
    <x v="6"/>
    <x v="20"/>
    <s v="Rabi"/>
    <x v="3"/>
    <n v="89.46"/>
    <n v="462.72"/>
    <n v="5172.34"/>
    <x v="1"/>
    <x v="1"/>
    <n v="205.81"/>
    <x v="459"/>
    <s v="Laterite"/>
    <x v="66"/>
    <x v="124"/>
    <n v="57.817348535658404"/>
  </r>
  <r>
    <s v="CID461"/>
    <d v="2012-11-09T00:00:00"/>
    <n v="2012"/>
    <x v="2"/>
    <x v="13"/>
    <s v="Rabi"/>
    <x v="1"/>
    <n v="1.74"/>
    <n v="6.94"/>
    <n v="3988.94"/>
    <x v="3"/>
    <x v="0"/>
    <n v="228.03"/>
    <x v="460"/>
    <s v="Sandy"/>
    <x v="411"/>
    <x v="5"/>
    <n v="2292.4942528735633"/>
  </r>
  <r>
    <s v="CID462"/>
    <d v="2021-11-21T00:00:00"/>
    <n v="2021"/>
    <x v="5"/>
    <x v="8"/>
    <s v="Rabi"/>
    <x v="5"/>
    <n v="58.45"/>
    <n v="395.73"/>
    <n v="6770.43"/>
    <x v="0"/>
    <x v="3"/>
    <n v="85.52"/>
    <x v="461"/>
    <s v="Alluvial"/>
    <x v="412"/>
    <x v="74"/>
    <n v="115.83284858853722"/>
  </r>
  <r>
    <s v="CID463"/>
    <d v="2013-11-14T00:00:00"/>
    <n v="2013"/>
    <x v="5"/>
    <x v="7"/>
    <s v="Rabi"/>
    <x v="2"/>
    <n v="74.430000000000007"/>
    <n v="503.33"/>
    <n v="6762.47"/>
    <x v="0"/>
    <x v="4"/>
    <n v="221.02"/>
    <x v="462"/>
    <s v="Sandy"/>
    <x v="413"/>
    <x v="127"/>
    <n v="90.856778180841047"/>
  </r>
  <r>
    <s v="CID464"/>
    <d v="2017-11-10T00:00:00"/>
    <n v="2017"/>
    <x v="5"/>
    <x v="7"/>
    <s v="Rabi"/>
    <x v="1"/>
    <n v="90.7"/>
    <n v="403.05"/>
    <n v="4443.79"/>
    <x v="2"/>
    <x v="3"/>
    <n v="155.25"/>
    <x v="463"/>
    <s v="Alluvial"/>
    <x v="414"/>
    <x v="54"/>
    <n v="48.994377067254682"/>
  </r>
  <r>
    <s v="CID465"/>
    <d v="2021-05-10T00:00:00"/>
    <n v="2021"/>
    <x v="0"/>
    <x v="11"/>
    <s v="Zaid"/>
    <x v="0"/>
    <n v="7.08"/>
    <n v="27.18"/>
    <n v="3838.96"/>
    <x v="3"/>
    <x v="0"/>
    <n v="193.21"/>
    <x v="464"/>
    <s v="Alluvial"/>
    <x v="415"/>
    <x v="91"/>
    <n v="542.22598870056493"/>
  </r>
  <r>
    <s v="CID466"/>
    <d v="2011-06-29T00:00:00"/>
    <n v="2011"/>
    <x v="2"/>
    <x v="2"/>
    <s v="Kharif"/>
    <x v="1"/>
    <n v="8.61"/>
    <n v="49.1"/>
    <n v="5702.58"/>
    <x v="2"/>
    <x v="3"/>
    <n v="83.13"/>
    <x v="465"/>
    <s v="Alluvial"/>
    <x v="54"/>
    <x v="85"/>
    <n v="662.32055749128926"/>
  </r>
  <r>
    <s v="CID467"/>
    <d v="2021-06-09T00:00:00"/>
    <n v="2021"/>
    <x v="6"/>
    <x v="20"/>
    <s v="Kharif"/>
    <x v="2"/>
    <n v="45.22"/>
    <n v="264.39999999999998"/>
    <n v="5847.04"/>
    <x v="2"/>
    <x v="4"/>
    <n v="245.63"/>
    <x v="412"/>
    <s v="Red"/>
    <x v="122"/>
    <x v="12"/>
    <n v="129.30207872622734"/>
  </r>
  <r>
    <s v="CID468"/>
    <d v="2019-08-28T00:00:00"/>
    <n v="2019"/>
    <x v="1"/>
    <x v="1"/>
    <s v="Kharif"/>
    <x v="3"/>
    <n v="75.52"/>
    <n v="262.64"/>
    <n v="3477.69"/>
    <x v="1"/>
    <x v="0"/>
    <n v="109.49"/>
    <x v="466"/>
    <s v="Red"/>
    <x v="340"/>
    <x v="139"/>
    <n v="46.04992055084746"/>
  </r>
  <r>
    <s v="CID469"/>
    <d v="2022-09-08T00:00:00"/>
    <n v="2022"/>
    <x v="0"/>
    <x v="11"/>
    <s v="Kharif"/>
    <x v="5"/>
    <n v="17.59"/>
    <n v="59.67"/>
    <n v="3392.47"/>
    <x v="2"/>
    <x v="1"/>
    <n v="169.07"/>
    <x v="467"/>
    <s v="Sandy"/>
    <x v="416"/>
    <x v="140"/>
    <n v="192.86355884025014"/>
  </r>
  <r>
    <s v="CID470"/>
    <d v="2019-03-17T00:00:00"/>
    <n v="2018"/>
    <x v="2"/>
    <x v="13"/>
    <s v="Rabi"/>
    <x v="5"/>
    <n v="29.59"/>
    <n v="171.14"/>
    <n v="5783.85"/>
    <x v="1"/>
    <x v="4"/>
    <n v="219.62"/>
    <x v="468"/>
    <s v="Black"/>
    <x v="417"/>
    <x v="90"/>
    <n v="195.46637377492397"/>
  </r>
  <r>
    <s v="CID471"/>
    <d v="2019-05-18T00:00:00"/>
    <n v="2019"/>
    <x v="4"/>
    <x v="16"/>
    <s v="Zaid"/>
    <x v="0"/>
    <n v="34.159999999999997"/>
    <n v="88.9"/>
    <n v="2602.5300000000002"/>
    <x v="0"/>
    <x v="2"/>
    <n v="113.84"/>
    <x v="469"/>
    <s v="Laterite"/>
    <x v="3"/>
    <x v="51"/>
    <n v="76.186475409836078"/>
  </r>
  <r>
    <s v="CID472"/>
    <d v="2019-06-04T00:00:00"/>
    <n v="2019"/>
    <x v="0"/>
    <x v="6"/>
    <s v="Kharif"/>
    <x v="1"/>
    <n v="34.4"/>
    <n v="176.87"/>
    <n v="5141.67"/>
    <x v="3"/>
    <x v="1"/>
    <n v="128.32"/>
    <x v="470"/>
    <s v="Black"/>
    <x v="93"/>
    <x v="141"/>
    <n v="149.46715116279071"/>
  </r>
  <r>
    <s v="CID473"/>
    <d v="2011-05-09T00:00:00"/>
    <n v="2011"/>
    <x v="1"/>
    <x v="10"/>
    <s v="Zaid"/>
    <x v="3"/>
    <n v="35.799999999999997"/>
    <n v="191.58"/>
    <n v="5351.5"/>
    <x v="2"/>
    <x v="2"/>
    <n v="98.27"/>
    <x v="471"/>
    <s v="Black"/>
    <x v="418"/>
    <x v="8"/>
    <n v="149.4832402234637"/>
  </r>
  <r>
    <s v="CID474"/>
    <d v="2011-04-12T00:00:00"/>
    <n v="2011"/>
    <x v="5"/>
    <x v="15"/>
    <s v="Zaid"/>
    <x v="5"/>
    <n v="9.5500000000000007"/>
    <n v="44.2"/>
    <n v="4628.1099999999997"/>
    <x v="1"/>
    <x v="0"/>
    <n v="214.1"/>
    <x v="472"/>
    <s v="Sandy"/>
    <x v="419"/>
    <x v="62"/>
    <n v="484.61884816753917"/>
  </r>
  <r>
    <s v="CID475"/>
    <d v="2015-01-22T00:00:00"/>
    <n v="2014"/>
    <x v="0"/>
    <x v="0"/>
    <s v="Rabi"/>
    <x v="3"/>
    <n v="66.39"/>
    <n v="96.55"/>
    <n v="1454.29"/>
    <x v="1"/>
    <x v="4"/>
    <n v="280.67"/>
    <x v="473"/>
    <s v="Laterite"/>
    <x v="420"/>
    <x v="96"/>
    <n v="21.90525681578551"/>
  </r>
  <r>
    <s v="CID476"/>
    <d v="2014-07-22T00:00:00"/>
    <n v="2014"/>
    <x v="6"/>
    <x v="17"/>
    <s v="Kharif"/>
    <x v="3"/>
    <n v="39.47"/>
    <n v="275.33"/>
    <n v="6975.75"/>
    <x v="2"/>
    <x v="3"/>
    <n v="288.89999999999998"/>
    <x v="474"/>
    <s v="Laterite"/>
    <x v="421"/>
    <x v="142"/>
    <n v="176.73549531289586"/>
  </r>
  <r>
    <s v="CID477"/>
    <d v="2020-11-27T00:00:00"/>
    <n v="2020"/>
    <x v="3"/>
    <x v="3"/>
    <s v="Rabi"/>
    <x v="5"/>
    <n v="15.24"/>
    <n v="85.53"/>
    <n v="5612.24"/>
    <x v="3"/>
    <x v="0"/>
    <n v="203.49"/>
    <x v="475"/>
    <s v="Laterite"/>
    <x v="422"/>
    <x v="98"/>
    <n v="368.25721784776903"/>
  </r>
  <r>
    <s v="CID478"/>
    <d v="2019-04-18T00:00:00"/>
    <n v="2019"/>
    <x v="1"/>
    <x v="1"/>
    <s v="Zaid"/>
    <x v="0"/>
    <n v="77.95"/>
    <n v="86.73"/>
    <n v="1112.5899999999999"/>
    <x v="1"/>
    <x v="2"/>
    <n v="87.21"/>
    <x v="476"/>
    <s v="Black"/>
    <x v="423"/>
    <x v="38"/>
    <n v="14.273123797305963"/>
  </r>
  <r>
    <s v="CID479"/>
    <d v="2016-04-01T00:00:00"/>
    <n v="2016"/>
    <x v="0"/>
    <x v="11"/>
    <s v="Zaid"/>
    <x v="5"/>
    <n v="52.02"/>
    <n v="345.39"/>
    <n v="6639.47"/>
    <x v="1"/>
    <x v="1"/>
    <n v="169.53"/>
    <x v="477"/>
    <s v="Black"/>
    <x v="424"/>
    <x v="99"/>
    <n v="127.63302575932333"/>
  </r>
  <r>
    <s v="CID480"/>
    <d v="2011-05-25T00:00:00"/>
    <n v="2011"/>
    <x v="0"/>
    <x v="11"/>
    <s v="Zaid"/>
    <x v="1"/>
    <n v="93.57"/>
    <n v="295.07"/>
    <n v="3153.51"/>
    <x v="2"/>
    <x v="4"/>
    <n v="150.15"/>
    <x v="478"/>
    <s v="Black"/>
    <x v="425"/>
    <x v="8"/>
    <n v="33.702148124398853"/>
  </r>
  <r>
    <s v="CID481"/>
    <d v="2023-01-31T00:00:00"/>
    <n v="2022"/>
    <x v="1"/>
    <x v="14"/>
    <s v="Rabi"/>
    <x v="2"/>
    <n v="21.11"/>
    <n v="91.34"/>
    <n v="4326.8500000000004"/>
    <x v="1"/>
    <x v="1"/>
    <n v="215.18"/>
    <x v="479"/>
    <s v="Laterite"/>
    <x v="426"/>
    <x v="60"/>
    <n v="204.96684036001898"/>
  </r>
  <r>
    <s v="CID482"/>
    <d v="2017-05-02T00:00:00"/>
    <n v="2017"/>
    <x v="1"/>
    <x v="10"/>
    <s v="Zaid"/>
    <x v="4"/>
    <n v="14.85"/>
    <n v="32.049999999999997"/>
    <n v="2158.56"/>
    <x v="3"/>
    <x v="3"/>
    <n v="172.31"/>
    <x v="480"/>
    <s v="Sandy"/>
    <x v="427"/>
    <x v="121"/>
    <n v="145.35757575757575"/>
  </r>
  <r>
    <s v="CID483"/>
    <d v="2010-10-16T00:00:00"/>
    <n v="2010"/>
    <x v="4"/>
    <x v="16"/>
    <s v="Kharif"/>
    <x v="0"/>
    <n v="6.55"/>
    <n v="37.51"/>
    <n v="5726.67"/>
    <x v="0"/>
    <x v="2"/>
    <n v="151.38"/>
    <x v="481"/>
    <s v="Sandy"/>
    <x v="260"/>
    <x v="143"/>
    <n v="874.30076335877868"/>
  </r>
  <r>
    <s v="CID484"/>
    <d v="2013-07-04T00:00:00"/>
    <n v="2013"/>
    <x v="0"/>
    <x v="6"/>
    <s v="Kharif"/>
    <x v="5"/>
    <n v="73.81"/>
    <n v="290.32"/>
    <n v="3933.37"/>
    <x v="0"/>
    <x v="0"/>
    <n v="167.8"/>
    <x v="482"/>
    <s v="Black"/>
    <x v="428"/>
    <x v="69"/>
    <n v="53.290475545319062"/>
  </r>
  <r>
    <s v="CID485"/>
    <d v="2010-12-27T00:00:00"/>
    <n v="2010"/>
    <x v="6"/>
    <x v="20"/>
    <s v="Rabi"/>
    <x v="5"/>
    <n v="46.16"/>
    <n v="93.43"/>
    <n v="2024.14"/>
    <x v="0"/>
    <x v="0"/>
    <n v="254.45"/>
    <x v="483"/>
    <s v="Laterite"/>
    <x v="429"/>
    <x v="50"/>
    <n v="43.850519930675915"/>
  </r>
  <r>
    <s v="CID486"/>
    <d v="2016-12-15T00:00:00"/>
    <n v="2016"/>
    <x v="4"/>
    <x v="4"/>
    <s v="Rabi"/>
    <x v="2"/>
    <n v="68.16"/>
    <n v="200.76"/>
    <n v="2945.41"/>
    <x v="3"/>
    <x v="4"/>
    <n v="130.4"/>
    <x v="484"/>
    <s v="Red"/>
    <x v="430"/>
    <x v="4"/>
    <n v="43.213174882629112"/>
  </r>
  <r>
    <s v="CID487"/>
    <d v="2014-09-05T00:00:00"/>
    <n v="2014"/>
    <x v="1"/>
    <x v="1"/>
    <s v="Kharif"/>
    <x v="3"/>
    <n v="17.64"/>
    <n v="56.79"/>
    <n v="3219.56"/>
    <x v="3"/>
    <x v="2"/>
    <n v="159.66999999999999"/>
    <x v="485"/>
    <s v="Black"/>
    <x v="431"/>
    <x v="133"/>
    <n v="182.51473922902494"/>
  </r>
  <r>
    <s v="CID488"/>
    <d v="2011-07-23T00:00:00"/>
    <n v="2011"/>
    <x v="1"/>
    <x v="14"/>
    <s v="Kharif"/>
    <x v="5"/>
    <n v="18.760000000000002"/>
    <n v="28.79"/>
    <n v="1534.85"/>
    <x v="2"/>
    <x v="2"/>
    <n v="154.06"/>
    <x v="486"/>
    <s v="Laterite"/>
    <x v="432"/>
    <x v="6"/>
    <n v="81.815031982942415"/>
  </r>
  <r>
    <s v="CID489"/>
    <d v="2019-01-17T00:00:00"/>
    <n v="2018"/>
    <x v="0"/>
    <x v="11"/>
    <s v="Rabi"/>
    <x v="3"/>
    <n v="24.69"/>
    <n v="50.55"/>
    <n v="2047.29"/>
    <x v="0"/>
    <x v="4"/>
    <n v="199.07"/>
    <x v="487"/>
    <s v="Sandy"/>
    <x v="433"/>
    <x v="95"/>
    <n v="82.919805589307401"/>
  </r>
  <r>
    <s v="CID490"/>
    <d v="2018-09-27T00:00:00"/>
    <n v="2018"/>
    <x v="3"/>
    <x v="3"/>
    <s v="Kharif"/>
    <x v="4"/>
    <n v="12.63"/>
    <n v="52.81"/>
    <n v="4181.1899999999996"/>
    <x v="0"/>
    <x v="2"/>
    <n v="204.73"/>
    <x v="488"/>
    <s v="Sandy"/>
    <x v="104"/>
    <x v="22"/>
    <n v="331.05225653206645"/>
  </r>
  <r>
    <s v="CID491"/>
    <d v="2013-09-02T00:00:00"/>
    <n v="2013"/>
    <x v="2"/>
    <x v="13"/>
    <s v="Kharif"/>
    <x v="4"/>
    <n v="68.84"/>
    <n v="468.9"/>
    <n v="6811.44"/>
    <x v="1"/>
    <x v="4"/>
    <n v="174.38"/>
    <x v="489"/>
    <s v="Black"/>
    <x v="330"/>
    <x v="102"/>
    <n v="98.945961650203358"/>
  </r>
  <r>
    <s v="CID492"/>
    <d v="2014-11-08T00:00:00"/>
    <n v="2014"/>
    <x v="6"/>
    <x v="18"/>
    <s v="Rabi"/>
    <x v="1"/>
    <n v="80.709999999999994"/>
    <n v="447.98"/>
    <n v="5550.45"/>
    <x v="0"/>
    <x v="1"/>
    <n v="76.11"/>
    <x v="490"/>
    <s v="Sandy"/>
    <x v="434"/>
    <x v="39"/>
    <n v="68.770288687894933"/>
  </r>
  <r>
    <s v="CID493"/>
    <d v="2011-06-29T00:00:00"/>
    <n v="2011"/>
    <x v="5"/>
    <x v="7"/>
    <s v="Kharif"/>
    <x v="2"/>
    <n v="45.04"/>
    <n v="201.71"/>
    <n v="4478.57"/>
    <x v="1"/>
    <x v="4"/>
    <n v="99.69"/>
    <x v="491"/>
    <s v="Alluvial"/>
    <x v="435"/>
    <x v="85"/>
    <n v="99.43539076376554"/>
  </r>
  <r>
    <s v="CID494"/>
    <d v="2013-04-10T00:00:00"/>
    <n v="2013"/>
    <x v="6"/>
    <x v="17"/>
    <s v="Zaid"/>
    <x v="3"/>
    <n v="87.12"/>
    <n v="283.42"/>
    <n v="3253.19"/>
    <x v="3"/>
    <x v="2"/>
    <n v="68.38"/>
    <x v="492"/>
    <s v="Black"/>
    <x v="436"/>
    <x v="1"/>
    <n v="37.341483011937555"/>
  </r>
  <r>
    <s v="CID495"/>
    <d v="2013-03-26T00:00:00"/>
    <n v="2012"/>
    <x v="5"/>
    <x v="8"/>
    <s v="Rabi"/>
    <x v="0"/>
    <n v="14.5"/>
    <n v="77.12"/>
    <n v="5318.93"/>
    <x v="2"/>
    <x v="0"/>
    <n v="293.89"/>
    <x v="493"/>
    <s v="Red"/>
    <x v="437"/>
    <x v="144"/>
    <n v="366.82275862068968"/>
  </r>
  <r>
    <s v="CID496"/>
    <d v="2012-03-27T00:00:00"/>
    <n v="2011"/>
    <x v="2"/>
    <x v="13"/>
    <s v="Rabi"/>
    <x v="3"/>
    <n v="42.4"/>
    <n v="235.83"/>
    <n v="5562.04"/>
    <x v="3"/>
    <x v="3"/>
    <n v="271.60000000000002"/>
    <x v="494"/>
    <s v="Sandy"/>
    <x v="438"/>
    <x v="46"/>
    <n v="131.18018867924528"/>
  </r>
  <r>
    <s v="CID497"/>
    <d v="2012-01-03T00:00:00"/>
    <n v="2011"/>
    <x v="4"/>
    <x v="4"/>
    <s v="Rabi"/>
    <x v="1"/>
    <n v="49.43"/>
    <n v="344.72"/>
    <n v="6973.99"/>
    <x v="1"/>
    <x v="2"/>
    <n v="259.25"/>
    <x v="495"/>
    <s v="Laterite"/>
    <x v="318"/>
    <x v="26"/>
    <n v="141.0882055431924"/>
  </r>
  <r>
    <s v="CID498"/>
    <d v="2019-10-08T00:00:00"/>
    <n v="2019"/>
    <x v="2"/>
    <x v="2"/>
    <s v="Kharif"/>
    <x v="1"/>
    <n v="94.68"/>
    <n v="613.77"/>
    <n v="6482.53"/>
    <x v="0"/>
    <x v="0"/>
    <n v="154.44"/>
    <x v="496"/>
    <s v="Laterite"/>
    <x v="439"/>
    <x v="79"/>
    <n v="68.467786227291924"/>
  </r>
  <r>
    <s v="CID499"/>
    <d v="2016-12-04T00:00:00"/>
    <n v="2016"/>
    <x v="3"/>
    <x v="12"/>
    <s v="Rabi"/>
    <x v="2"/>
    <n v="82.31"/>
    <n v="305.75"/>
    <n v="3714.65"/>
    <x v="3"/>
    <x v="4"/>
    <n v="70.77"/>
    <x v="497"/>
    <s v="Laterite"/>
    <x v="433"/>
    <x v="4"/>
    <n v="45.129996355242376"/>
  </r>
  <r>
    <s v="CID500"/>
    <d v="2020-09-27T00:00:00"/>
    <n v="2020"/>
    <x v="2"/>
    <x v="13"/>
    <s v="Kharif"/>
    <x v="5"/>
    <n v="48.5"/>
    <n v="137.21"/>
    <n v="2829.02"/>
    <x v="1"/>
    <x v="2"/>
    <n v="264.48"/>
    <x v="498"/>
    <s v="Black"/>
    <x v="440"/>
    <x v="41"/>
    <n v="58.33030927835051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s v="CID1"/>
    <d v="2010-04-03T00:00:00"/>
    <n v="2010"/>
    <x v="0"/>
    <s v="Lucknow"/>
    <s v="Zaid"/>
    <x v="0"/>
    <n v="25.24"/>
    <n v="46.37"/>
    <n v="1837.23"/>
    <s v="Canal"/>
    <s v="Urea"/>
    <n v="219.17"/>
    <n v="1092.18"/>
    <s v="Black"/>
    <n v="28.86"/>
    <s v="2010-04"/>
    <n v="72.790412044374008"/>
    <x v="0"/>
  </r>
  <r>
    <s v="CID2"/>
    <d v="2013-04-11T00:00:00"/>
    <n v="2013"/>
    <x v="1"/>
    <s v="Ludhiana"/>
    <s v="Zaid"/>
    <x v="1"/>
    <n v="3.63"/>
    <n v="7.96"/>
    <n v="2193.0300000000002"/>
    <s v="Drip"/>
    <s v="Compost"/>
    <n v="105.11"/>
    <n v="789.27"/>
    <s v="Black"/>
    <n v="31.38"/>
    <s v="2013-04"/>
    <n v="604.14049586776866"/>
    <x v="0"/>
  </r>
  <r>
    <s v="CID3"/>
    <d v="2012-10-16T00:00:00"/>
    <n v="2012"/>
    <x v="2"/>
    <s v="Pune"/>
    <s v="Kharif"/>
    <x v="0"/>
    <n v="11.12"/>
    <n v="36.47"/>
    <n v="3279.56"/>
    <s v="Rainfed"/>
    <s v="Urea"/>
    <n v="261.87"/>
    <n v="803.73"/>
    <s v="Black"/>
    <n v="30.95"/>
    <s v="2012-10"/>
    <n v="294.92446043165467"/>
    <x v="0"/>
  </r>
  <r>
    <s v="CID4"/>
    <d v="2018-11-21T00:00:00"/>
    <n v="2018"/>
    <x v="3"/>
    <s v="Bangalore"/>
    <s v="Rabi"/>
    <x v="2"/>
    <n v="62.23"/>
    <n v="383.97"/>
    <n v="6170.24"/>
    <s v="Borewell"/>
    <s v="DAP"/>
    <n v="226.14"/>
    <n v="245.82"/>
    <s v="Red"/>
    <n v="31.6"/>
    <s v="2018-11"/>
    <n v="99.152177406395637"/>
    <x v="0"/>
  </r>
  <r>
    <s v="CID5"/>
    <d v="2016-12-14T00:00:00"/>
    <n v="2016"/>
    <x v="4"/>
    <s v="Kolkata"/>
    <s v="Rabi"/>
    <x v="3"/>
    <n v="63.93"/>
    <n v="203.87"/>
    <n v="3188.99"/>
    <s v="Rainfed"/>
    <s v="Vermicompost"/>
    <n v="138.82"/>
    <n v="870.18"/>
    <s v="Black"/>
    <n v="29.14"/>
    <s v="2016-12"/>
    <n v="49.882527764742683"/>
    <x v="0"/>
  </r>
  <r>
    <s v="CID6"/>
    <d v="2012-11-09T00:00:00"/>
    <n v="2012"/>
    <x v="0"/>
    <s v="Lucknow"/>
    <s v="Rabi"/>
    <x v="3"/>
    <n v="27.72"/>
    <n v="181.63"/>
    <n v="6552.35"/>
    <s v="Borewell"/>
    <s v="NPK"/>
    <n v="221.15"/>
    <n v="1042.8499999999999"/>
    <s v="Black"/>
    <n v="23.44"/>
    <s v="2012-11"/>
    <n v="236.37626262626264"/>
    <x v="0"/>
  </r>
  <r>
    <s v="CID7"/>
    <d v="2011-07-06T00:00:00"/>
    <n v="2011"/>
    <x v="3"/>
    <s v="Mysore"/>
    <s v="Kharif"/>
    <x v="1"/>
    <n v="87.76"/>
    <n v="253.46"/>
    <n v="2888.07"/>
    <s v="Drip"/>
    <s v="DAP"/>
    <n v="148.91"/>
    <n v="1114.55"/>
    <s v="Laterite"/>
    <n v="22.14"/>
    <s v="2011-07"/>
    <n v="32.908728350045578"/>
    <x v="0"/>
  </r>
  <r>
    <s v="CID8"/>
    <d v="2018-11-24T00:00:00"/>
    <n v="2018"/>
    <x v="0"/>
    <s v="Varanasi"/>
    <s v="Rabi"/>
    <x v="2"/>
    <n v="58.87"/>
    <n v="376"/>
    <n v="6386.94"/>
    <s v="Drip"/>
    <s v="Urea"/>
    <n v="140.5"/>
    <n v="1197.33"/>
    <s v="Red"/>
    <n v="27.64"/>
    <s v="2018-11"/>
    <n v="108.49227110582639"/>
    <x v="0"/>
  </r>
  <r>
    <s v="CID9"/>
    <d v="2012-05-06T00:00:00"/>
    <n v="2012"/>
    <x v="4"/>
    <s v="Kolkata"/>
    <s v="Zaid"/>
    <x v="4"/>
    <n v="79.42"/>
    <n v="280.58999999999997"/>
    <n v="3532.96"/>
    <s v="Canal"/>
    <s v="Urea"/>
    <n v="146.19"/>
    <n v="795.89"/>
    <s v="Laterite"/>
    <n v="27.94"/>
    <s v="2012-05"/>
    <n v="44.484512717199699"/>
    <x v="0"/>
  </r>
  <r>
    <s v="CID10"/>
    <d v="2011-05-17T00:00:00"/>
    <n v="2011"/>
    <x v="0"/>
    <s v="Varanasi"/>
    <s v="Zaid"/>
    <x v="1"/>
    <n v="75.34"/>
    <n v="422.78"/>
    <n v="5611.59"/>
    <s v="Rainfed"/>
    <s v="NPK"/>
    <n v="77.89"/>
    <n v="634.77"/>
    <s v="Laterite"/>
    <n v="20.05"/>
    <s v="2011-05"/>
    <n v="74.483541279532787"/>
    <x v="0"/>
  </r>
  <r>
    <s v="CID11"/>
    <d v="2018-10-14T00:00:00"/>
    <n v="2018"/>
    <x v="5"/>
    <s v="Patna"/>
    <s v="Kharif"/>
    <x v="2"/>
    <n v="30.55"/>
    <n v="147.66999999999999"/>
    <n v="4833.7"/>
    <s v="Borewell"/>
    <s v="Urea"/>
    <n v="88.21"/>
    <n v="962.51"/>
    <s v="Sandy"/>
    <n v="34.299999999999997"/>
    <s v="2018-10"/>
    <n v="158.22258592471357"/>
    <x v="0"/>
  </r>
  <r>
    <s v="CID12"/>
    <d v="2017-06-22T00:00:00"/>
    <n v="2017"/>
    <x v="5"/>
    <s v="Gaya"/>
    <s v="Kharif"/>
    <x v="5"/>
    <n v="92.98"/>
    <n v="583.20000000000005"/>
    <n v="6272.33"/>
    <s v="Rainfed"/>
    <s v="Compost"/>
    <n v="109.86"/>
    <n v="440.87"/>
    <s v="Sandy"/>
    <n v="34.200000000000003"/>
    <s v="2017-06"/>
    <n v="67.458915895891579"/>
    <x v="0"/>
  </r>
  <r>
    <s v="CID13"/>
    <d v="2022-05-30T00:00:00"/>
    <n v="2022"/>
    <x v="4"/>
    <s v="Kolkata"/>
    <s v="Zaid"/>
    <x v="4"/>
    <n v="13.71"/>
    <n v="52.81"/>
    <n v="3851.69"/>
    <s v="Borewell"/>
    <s v="Vermicompost"/>
    <n v="116.26"/>
    <n v="1072.43"/>
    <s v="Laterite"/>
    <n v="34.47"/>
    <s v="2022-05"/>
    <n v="280.94018964259664"/>
    <x v="0"/>
  </r>
  <r>
    <s v="CID14"/>
    <d v="2021-06-17T00:00:00"/>
    <n v="2021"/>
    <x v="4"/>
    <s v="Darjeeling"/>
    <s v="Kharif"/>
    <x v="2"/>
    <n v="31.86"/>
    <n v="222.09"/>
    <n v="6970.9"/>
    <s v="Rainfed"/>
    <s v="NPK"/>
    <n v="159.53"/>
    <n v="717.58"/>
    <s v="Black"/>
    <n v="23.72"/>
    <s v="2021-06"/>
    <n v="218.79786566227244"/>
    <x v="0"/>
  </r>
  <r>
    <s v="CID15"/>
    <d v="2018-07-31T00:00:00"/>
    <n v="2018"/>
    <x v="1"/>
    <s v="Patiala"/>
    <s v="Kharif"/>
    <x v="1"/>
    <n v="22.8"/>
    <n v="32.51"/>
    <n v="1425.96"/>
    <s v="Canal"/>
    <s v="NPK"/>
    <n v="107.24"/>
    <n v="1105.42"/>
    <s v="Alluvial"/>
    <n v="21.06"/>
    <s v="2018-07"/>
    <n v="62.542105263157893"/>
    <x v="0"/>
  </r>
  <r>
    <s v="CID16"/>
    <d v="2013-04-07T00:00:00"/>
    <n v="2013"/>
    <x v="0"/>
    <s v="Kanpur"/>
    <s v="Zaid"/>
    <x v="4"/>
    <n v="72.61"/>
    <n v="457.03"/>
    <n v="6294.3"/>
    <s v="Drip"/>
    <s v="Compost"/>
    <n v="110.75"/>
    <n v="672.97"/>
    <s v="Laterite"/>
    <n v="22.86"/>
    <s v="2013-04"/>
    <n v="86.68640683101502"/>
    <x v="0"/>
  </r>
  <r>
    <s v="CID17"/>
    <d v="2016-12-19T00:00:00"/>
    <n v="2016"/>
    <x v="2"/>
    <s v="Pune"/>
    <s v="Rabi"/>
    <x v="2"/>
    <n v="6.36"/>
    <n v="31.3"/>
    <n v="4920.7299999999996"/>
    <s v="Canal"/>
    <s v="Vermicompost"/>
    <n v="65.150000000000006"/>
    <n v="928.21"/>
    <s v="Black"/>
    <n v="23.73"/>
    <s v="2016-12"/>
    <n v="773.69968553459114"/>
    <x v="0"/>
  </r>
  <r>
    <s v="CID18"/>
    <d v="2016-10-17T00:00:00"/>
    <n v="2016"/>
    <x v="3"/>
    <s v="Bangalore"/>
    <s v="Kharif"/>
    <x v="0"/>
    <n v="46.8"/>
    <n v="292.36"/>
    <n v="6246.92"/>
    <s v="Canal"/>
    <s v="Urea"/>
    <n v="160.78"/>
    <n v="1061.3499999999999"/>
    <s v="Sandy"/>
    <n v="21.47"/>
    <s v="2016-10"/>
    <n v="133.4811965811966"/>
    <x v="0"/>
  </r>
  <r>
    <s v="CID19"/>
    <d v="2013-02-25T00:00:00"/>
    <n v="2012"/>
    <x v="1"/>
    <s v="Ludhiana"/>
    <s v="Rabi"/>
    <x v="3"/>
    <n v="48.65"/>
    <n v="301.04000000000002"/>
    <n v="6187.9"/>
    <s v="Canal"/>
    <s v="NPK"/>
    <n v="91.16"/>
    <n v="202.16"/>
    <s v="Laterite"/>
    <n v="23.98"/>
    <s v="2013-02"/>
    <n v="127.19218910585816"/>
    <x v="0"/>
  </r>
  <r>
    <s v="CID20"/>
    <d v="2021-04-21T00:00:00"/>
    <n v="2021"/>
    <x v="3"/>
    <s v="Hubli"/>
    <s v="Zaid"/>
    <x v="2"/>
    <n v="72.12"/>
    <n v="139.1"/>
    <n v="1928.78"/>
    <s v="Rainfed"/>
    <s v="Urea"/>
    <n v="104.43"/>
    <n v="258.48"/>
    <s v="Sandy"/>
    <n v="20.91"/>
    <s v="2021-04"/>
    <n v="26.744037714919575"/>
    <x v="0"/>
  </r>
  <r>
    <s v="CID21"/>
    <d v="2017-04-16T00:00:00"/>
    <n v="2017"/>
    <x v="1"/>
    <s v="Patiala"/>
    <s v="Zaid"/>
    <x v="1"/>
    <n v="16.59"/>
    <n v="112.23"/>
    <n v="6764.67"/>
    <s v="Canal"/>
    <s v="Compost"/>
    <n v="262.83999999999997"/>
    <n v="268.52"/>
    <s v="Black"/>
    <n v="30.13"/>
    <s v="2017-04"/>
    <n v="407.75587703435804"/>
    <x v="0"/>
  </r>
  <r>
    <s v="CID22"/>
    <d v="2013-04-26T00:00:00"/>
    <n v="2013"/>
    <x v="1"/>
    <s v="Patiala"/>
    <s v="Zaid"/>
    <x v="1"/>
    <n v="4.93"/>
    <n v="7.36"/>
    <n v="1491.9"/>
    <s v="Rainfed"/>
    <s v="DAP"/>
    <n v="283.68"/>
    <n v="404.26"/>
    <s v="Alluvial"/>
    <n v="23.58"/>
    <s v="2013-04"/>
    <n v="302.61663286004062"/>
    <x v="0"/>
  </r>
  <r>
    <s v="CID23"/>
    <d v="2014-12-25T00:00:00"/>
    <n v="2014"/>
    <x v="0"/>
    <s v="Varanasi"/>
    <s v="Rabi"/>
    <x v="0"/>
    <n v="92.97"/>
    <n v="614.94000000000005"/>
    <n v="6614.41"/>
    <s v="Canal"/>
    <s v="Vermicompost"/>
    <n v="164.57"/>
    <n v="1198.45"/>
    <s v="Black"/>
    <n v="21.1"/>
    <s v="2014-12"/>
    <n v="71.145638377971395"/>
    <x v="0"/>
  </r>
  <r>
    <s v="CID24"/>
    <d v="2015-10-20T00:00:00"/>
    <n v="2015"/>
    <x v="2"/>
    <s v="Nagpur"/>
    <s v="Kharif"/>
    <x v="4"/>
    <n v="37.58"/>
    <n v="73.150000000000006"/>
    <n v="1946.48"/>
    <s v="Rainfed"/>
    <s v="NPK"/>
    <n v="202.92"/>
    <n v="1187.23"/>
    <s v="Sandy"/>
    <n v="20.12"/>
    <s v="2015-10"/>
    <n v="51.795635976583291"/>
    <x v="0"/>
  </r>
  <r>
    <s v="CID25"/>
    <d v="2013-01-07T00:00:00"/>
    <n v="2012"/>
    <x v="0"/>
    <s v="Lucknow"/>
    <s v="Rabi"/>
    <x v="5"/>
    <n v="89.08"/>
    <n v="485.89"/>
    <n v="5454.5"/>
    <s v="Borewell"/>
    <s v="Vermicompost"/>
    <n v="118.09"/>
    <n v="804.83"/>
    <s v="Alluvial"/>
    <n v="23.05"/>
    <s v="2013-01"/>
    <n v="61.231477323753928"/>
    <x v="0"/>
  </r>
  <r>
    <s v="CID26"/>
    <d v="2010-09-22T00:00:00"/>
    <n v="2010"/>
    <x v="3"/>
    <s v="Mysore"/>
    <s v="Kharif"/>
    <x v="2"/>
    <n v="42.93"/>
    <n v="114.2"/>
    <n v="2660.08"/>
    <s v="Canal"/>
    <s v="Vermicompost"/>
    <n v="133.38999999999999"/>
    <n v="330.82"/>
    <s v="Alluvial"/>
    <n v="22.42"/>
    <s v="2010-09"/>
    <n v="61.963195900302814"/>
    <x v="0"/>
  </r>
  <r>
    <s v="CID27"/>
    <d v="2018-09-19T00:00:00"/>
    <n v="2018"/>
    <x v="0"/>
    <s v="Kanpur"/>
    <s v="Kharif"/>
    <x v="5"/>
    <n v="8.4499999999999993"/>
    <n v="53.22"/>
    <n v="6298.64"/>
    <s v="Borewell"/>
    <s v="DAP"/>
    <n v="186.4"/>
    <n v="1034.5999999999999"/>
    <s v="Sandy"/>
    <n v="28.29"/>
    <s v="2018-09"/>
    <n v="745.40118343195275"/>
    <x v="0"/>
  </r>
  <r>
    <s v="CID28"/>
    <d v="2015-07-10T00:00:00"/>
    <n v="2015"/>
    <x v="1"/>
    <s v="Amritsar"/>
    <s v="Kharif"/>
    <x v="0"/>
    <n v="21.8"/>
    <n v="54.44"/>
    <n v="2497.1799999999998"/>
    <s v="Canal"/>
    <s v="DAP"/>
    <n v="138.41999999999999"/>
    <n v="759.88"/>
    <s v="Laterite"/>
    <n v="34.61"/>
    <s v="2015-07"/>
    <n v="114.54954128440366"/>
    <x v="0"/>
  </r>
  <r>
    <s v="CID29"/>
    <d v="2022-06-28T00:00:00"/>
    <n v="2022"/>
    <x v="4"/>
    <s v="Kolkata"/>
    <s v="Kharif"/>
    <x v="3"/>
    <n v="3.45"/>
    <n v="18.7"/>
    <n v="5419.39"/>
    <s v="Rainfed"/>
    <s v="Compost"/>
    <n v="245.6"/>
    <n v="611.71"/>
    <s v="Red"/>
    <n v="24"/>
    <s v="2022-06"/>
    <n v="1570.8376811594203"/>
    <x v="0"/>
  </r>
  <r>
    <s v="CID30"/>
    <d v="2017-07-20T00:00:00"/>
    <n v="2017"/>
    <x v="4"/>
    <s v="Kolkata"/>
    <s v="Kharif"/>
    <x v="4"/>
    <n v="81.84"/>
    <n v="307.87"/>
    <n v="3761.82"/>
    <s v="Rainfed"/>
    <s v="Compost"/>
    <n v="255.13"/>
    <n v="1071.32"/>
    <s v="Red"/>
    <n v="20.350000000000001"/>
    <s v="2017-07"/>
    <n v="45.965542521994138"/>
    <x v="0"/>
  </r>
  <r>
    <s v="CID31"/>
    <d v="2012-01-07T00:00:00"/>
    <n v="2011"/>
    <x v="2"/>
    <s v="Pune"/>
    <s v="Rabi"/>
    <x v="0"/>
    <n v="64.510000000000005"/>
    <n v="219.21"/>
    <n v="3398.07"/>
    <s v="Rainfed"/>
    <s v="Urea"/>
    <n v="284.81"/>
    <n v="315.33999999999997"/>
    <s v="Alluvial"/>
    <n v="22.68"/>
    <s v="2012-01"/>
    <n v="52.675089133467679"/>
    <x v="0"/>
  </r>
  <r>
    <s v="CID32"/>
    <d v="2017-02-20T00:00:00"/>
    <n v="2016"/>
    <x v="1"/>
    <s v="Patiala"/>
    <s v="Rabi"/>
    <x v="2"/>
    <n v="78.86"/>
    <n v="285.33999999999997"/>
    <n v="3618.36"/>
    <s v="Canal"/>
    <s v="Urea"/>
    <n v="146.30000000000001"/>
    <n v="776.59"/>
    <s v="Alluvial"/>
    <n v="20.67"/>
    <s v="2017-02"/>
    <n v="45.883337560233329"/>
    <x v="0"/>
  </r>
  <r>
    <s v="CID33"/>
    <d v="2020-05-13T00:00:00"/>
    <n v="2020"/>
    <x v="5"/>
    <s v="Bhagalpur"/>
    <s v="Zaid"/>
    <x v="2"/>
    <n v="73.97"/>
    <n v="161.41999999999999"/>
    <n v="2182.21"/>
    <s v="Drip"/>
    <s v="Urea"/>
    <n v="67.489999999999995"/>
    <n v="864.24"/>
    <s v="Alluvial"/>
    <n v="29.35"/>
    <s v="2020-05"/>
    <n v="29.501284304447751"/>
    <x v="0"/>
  </r>
  <r>
    <s v="CID34"/>
    <d v="2018-12-15T00:00:00"/>
    <n v="2018"/>
    <x v="0"/>
    <s v="Kanpur"/>
    <s v="Rabi"/>
    <x v="2"/>
    <n v="41.43"/>
    <n v="141.46"/>
    <n v="3414.4"/>
    <s v="Rainfed"/>
    <s v="Vermicompost"/>
    <n v="188.6"/>
    <n v="391.84"/>
    <s v="Laterite"/>
    <n v="30.16"/>
    <s v="2018-12"/>
    <n v="82.413709872073383"/>
    <x v="0"/>
  </r>
  <r>
    <s v="CID35"/>
    <d v="2016-05-21T00:00:00"/>
    <n v="2016"/>
    <x v="5"/>
    <s v="Gaya"/>
    <s v="Zaid"/>
    <x v="5"/>
    <n v="31.08"/>
    <n v="70.27"/>
    <n v="2261.1"/>
    <s v="Rainfed"/>
    <s v="DAP"/>
    <n v="166.25"/>
    <n v="642.16"/>
    <s v="Red"/>
    <n v="27.67"/>
    <s v="2016-05"/>
    <n v="72.750965250965251"/>
    <x v="0"/>
  </r>
  <r>
    <s v="CID36"/>
    <d v="2014-04-03T00:00:00"/>
    <n v="2014"/>
    <x v="0"/>
    <s v="Lucknow"/>
    <s v="Zaid"/>
    <x v="2"/>
    <n v="63.66"/>
    <n v="191.69"/>
    <n v="3011.13"/>
    <s v="Borewell"/>
    <s v="DAP"/>
    <n v="218.2"/>
    <n v="424.64"/>
    <s v="Red"/>
    <n v="22.21"/>
    <s v="2014-04"/>
    <n v="47.300188501413764"/>
    <x v="0"/>
  </r>
  <r>
    <s v="CID37"/>
    <d v="2022-06-02T00:00:00"/>
    <n v="2022"/>
    <x v="3"/>
    <s v="Hubli"/>
    <s v="Kharif"/>
    <x v="3"/>
    <n v="42.03"/>
    <n v="200.84"/>
    <n v="4778.59"/>
    <s v="Borewell"/>
    <s v="Urea"/>
    <n v="229.59"/>
    <n v="583.98"/>
    <s v="Laterite"/>
    <n v="23.66"/>
    <s v="2022-06"/>
    <n v="113.69474185105877"/>
    <x v="0"/>
  </r>
  <r>
    <s v="CID38"/>
    <d v="2013-10-14T00:00:00"/>
    <n v="2013"/>
    <x v="4"/>
    <s v="Howrah"/>
    <s v="Kharif"/>
    <x v="2"/>
    <n v="52.28"/>
    <n v="68.03"/>
    <n v="1301.31"/>
    <s v="Borewell"/>
    <s v="Vermicompost"/>
    <n v="279.37"/>
    <n v="321.36"/>
    <s v="Red"/>
    <n v="32.020000000000003"/>
    <s v="2013-10"/>
    <n v="24.89116296863045"/>
    <x v="0"/>
  </r>
  <r>
    <s v="CID39"/>
    <d v="2023-03-02T00:00:00"/>
    <n v="2022"/>
    <x v="5"/>
    <s v="Gaya"/>
    <s v="Rabi"/>
    <x v="1"/>
    <n v="81.69"/>
    <n v="518.9"/>
    <n v="6352.12"/>
    <s v="Drip"/>
    <s v="Compost"/>
    <n v="257.64"/>
    <n v="747.87"/>
    <s v="Red"/>
    <n v="31.15"/>
    <s v="2023-03"/>
    <n v="77.758844411800709"/>
    <x v="0"/>
  </r>
  <r>
    <s v="CID40"/>
    <d v="2021-03-19T00:00:00"/>
    <n v="2020"/>
    <x v="2"/>
    <s v="Nagpur"/>
    <s v="Rabi"/>
    <x v="1"/>
    <n v="48.98"/>
    <n v="119.29"/>
    <n v="2435.48"/>
    <s v="Drip"/>
    <s v="Urea"/>
    <n v="69.37"/>
    <n v="485.73"/>
    <s v="Alluvial"/>
    <n v="25.04"/>
    <s v="2021-03"/>
    <n v="49.723968966925277"/>
    <x v="0"/>
  </r>
  <r>
    <s v="CID41"/>
    <d v="2014-02-16T00:00:00"/>
    <n v="2013"/>
    <x v="6"/>
    <s v="Gurgaon"/>
    <s v="Rabi"/>
    <x v="2"/>
    <n v="16.13"/>
    <n v="36.840000000000003"/>
    <n v="2283.7199999999998"/>
    <s v="Drip"/>
    <s v="Compost"/>
    <n v="151.9"/>
    <n v="742.61"/>
    <s v="Laterite"/>
    <n v="20.93"/>
    <s v="2014-02"/>
    <n v="141.58214507129571"/>
    <x v="0"/>
  </r>
  <r>
    <s v="CID42"/>
    <d v="2021-10-18T00:00:00"/>
    <n v="2021"/>
    <x v="4"/>
    <s v="Darjeeling"/>
    <s v="Kharif"/>
    <x v="1"/>
    <n v="38.659999999999997"/>
    <n v="40.03"/>
    <n v="1035.3800000000001"/>
    <s v="Rainfed"/>
    <s v="Vermicompost"/>
    <n v="124.65"/>
    <n v="589.99"/>
    <s v="Laterite"/>
    <n v="28.07"/>
    <s v="2021-10"/>
    <n v="26.781686497672016"/>
    <x v="0"/>
  </r>
  <r>
    <s v="CID43"/>
    <d v="2014-03-17T00:00:00"/>
    <n v="2013"/>
    <x v="6"/>
    <s v="Faridabad"/>
    <s v="Rabi"/>
    <x v="3"/>
    <n v="49.08"/>
    <n v="163.59"/>
    <n v="3333.14"/>
    <s v="Drip"/>
    <s v="Urea"/>
    <n v="231.05"/>
    <n v="1040.51"/>
    <s v="Red"/>
    <n v="34.71"/>
    <s v="2014-03"/>
    <n v="67.912387938060306"/>
    <x v="0"/>
  </r>
  <r>
    <s v="CID44"/>
    <d v="2019-04-21T00:00:00"/>
    <n v="2019"/>
    <x v="3"/>
    <s v="Hubli"/>
    <s v="Zaid"/>
    <x v="5"/>
    <n v="9.31"/>
    <n v="33.25"/>
    <n v="3571.68"/>
    <s v="Drip"/>
    <s v="NPK"/>
    <n v="95.43"/>
    <n v="460.16"/>
    <s v="Alluvial"/>
    <n v="23.17"/>
    <s v="2019-04"/>
    <n v="383.63909774436087"/>
    <x v="0"/>
  </r>
  <r>
    <s v="CID45"/>
    <d v="2014-11-11T00:00:00"/>
    <n v="2014"/>
    <x v="4"/>
    <s v="Howrah"/>
    <s v="Rabi"/>
    <x v="0"/>
    <n v="83.66"/>
    <n v="319.74"/>
    <n v="3821.84"/>
    <s v="Canal"/>
    <s v="Urea"/>
    <n v="299.98"/>
    <n v="549.96"/>
    <s v="Black"/>
    <n v="31.72"/>
    <s v="2014-11"/>
    <n v="45.683002629691615"/>
    <x v="0"/>
  </r>
  <r>
    <s v="CID46"/>
    <d v="2010-04-11T00:00:00"/>
    <n v="2010"/>
    <x v="6"/>
    <s v="Gurgaon"/>
    <s v="Zaid"/>
    <x v="4"/>
    <n v="24.62"/>
    <n v="94.57"/>
    <n v="3841.37"/>
    <s v="Canal"/>
    <s v="Vermicompost"/>
    <n v="190.99"/>
    <n v="417.96"/>
    <s v="Alluvial"/>
    <n v="31.5"/>
    <s v="2010-04"/>
    <n v="156.02640129975629"/>
    <x v="0"/>
  </r>
  <r>
    <s v="CID47"/>
    <d v="2021-07-21T00:00:00"/>
    <n v="2021"/>
    <x v="5"/>
    <s v="Bhagalpur"/>
    <s v="Kharif"/>
    <x v="4"/>
    <n v="96.51"/>
    <n v="159.11000000000001"/>
    <n v="1648.59"/>
    <s v="Canal"/>
    <s v="Urea"/>
    <n v="282.22000000000003"/>
    <n v="775.8"/>
    <s v="Laterite"/>
    <n v="25.95"/>
    <s v="2021-07"/>
    <n v="17.082064034815044"/>
    <x v="0"/>
  </r>
  <r>
    <s v="CID48"/>
    <d v="2020-09-18T00:00:00"/>
    <n v="2020"/>
    <x v="5"/>
    <s v="Bhagalpur"/>
    <s v="Kharif"/>
    <x v="5"/>
    <n v="70.02"/>
    <n v="196.72"/>
    <n v="2809.5"/>
    <s v="Canal"/>
    <s v="NPK"/>
    <n v="249.06"/>
    <n v="765.93"/>
    <s v="Black"/>
    <n v="25.21"/>
    <s v="2020-09"/>
    <n v="40.12425021422451"/>
    <x v="0"/>
  </r>
  <r>
    <s v="CID49"/>
    <d v="2021-02-20T00:00:00"/>
    <n v="2020"/>
    <x v="1"/>
    <s v="Patiala"/>
    <s v="Rabi"/>
    <x v="5"/>
    <n v="85.11"/>
    <n v="505.04"/>
    <n v="5933.99"/>
    <s v="Canal"/>
    <s v="DAP"/>
    <n v="158.38"/>
    <n v="562.19000000000005"/>
    <s v="Laterite"/>
    <n v="30.61"/>
    <s v="2021-02"/>
    <n v="69.721419339678064"/>
    <x v="0"/>
  </r>
  <r>
    <s v="CID50"/>
    <d v="2021-01-02T00:00:00"/>
    <n v="2020"/>
    <x v="0"/>
    <s v="Varanasi"/>
    <s v="Rabi"/>
    <x v="1"/>
    <n v="81.010000000000005"/>
    <n v="342.59"/>
    <n v="4229.04"/>
    <s v="Drip"/>
    <s v="Urea"/>
    <n v="166.22"/>
    <n v="1025.73"/>
    <s v="Sandy"/>
    <n v="24.03"/>
    <s v="2021-01"/>
    <n v="52.203925441303539"/>
    <x v="0"/>
  </r>
  <r>
    <s v="CID51"/>
    <d v="2014-01-06T00:00:00"/>
    <n v="2013"/>
    <x v="2"/>
    <s v="Pune"/>
    <s v="Rabi"/>
    <x v="1"/>
    <n v="61.42"/>
    <n v="201.09"/>
    <n v="3273.94"/>
    <s v="Canal"/>
    <s v="NPK"/>
    <n v="173.58"/>
    <n v="525.01"/>
    <s v="Laterite"/>
    <n v="23.18"/>
    <s v="2014-01"/>
    <n v="53.30413546076197"/>
    <x v="0"/>
  </r>
  <r>
    <s v="CID52"/>
    <d v="2022-03-02T00:00:00"/>
    <n v="2021"/>
    <x v="2"/>
    <s v="Mumbai"/>
    <s v="Rabi"/>
    <x v="1"/>
    <n v="2"/>
    <n v="13.38"/>
    <n v="6688.38"/>
    <s v="Canal"/>
    <s v="Compost"/>
    <n v="110.34"/>
    <n v="606.42999999999995"/>
    <s v="Sandy"/>
    <n v="31.37"/>
    <s v="2022-03"/>
    <n v="3344.19"/>
    <x v="0"/>
  </r>
  <r>
    <s v="CID53"/>
    <d v="2012-03-20T00:00:00"/>
    <n v="2011"/>
    <x v="3"/>
    <s v="Bangalore"/>
    <s v="Rabi"/>
    <x v="4"/>
    <n v="41.04"/>
    <n v="100.95"/>
    <n v="2459.83"/>
    <s v="Rainfed"/>
    <s v="NPK"/>
    <n v="168.32"/>
    <n v="730.92"/>
    <s v="Laterite"/>
    <n v="34.950000000000003"/>
    <s v="2012-03"/>
    <n v="59.937378167641327"/>
    <x v="0"/>
  </r>
  <r>
    <s v="CID54"/>
    <d v="2018-03-04T00:00:00"/>
    <n v="2017"/>
    <x v="2"/>
    <s v="Mumbai"/>
    <s v="Rabi"/>
    <x v="0"/>
    <n v="25.89"/>
    <n v="44.63"/>
    <n v="1723.94"/>
    <s v="Borewell"/>
    <s v="NPK"/>
    <n v="128.88999999999999"/>
    <n v="942.88"/>
    <s v="Red"/>
    <n v="22.87"/>
    <s v="2018-03"/>
    <n v="66.587099266125918"/>
    <x v="0"/>
  </r>
  <r>
    <s v="CID55"/>
    <d v="2022-05-05T00:00:00"/>
    <n v="2022"/>
    <x v="0"/>
    <s v="Varanasi"/>
    <s v="Zaid"/>
    <x v="1"/>
    <n v="29.02"/>
    <n v="46.52"/>
    <n v="1603.16"/>
    <s v="Borewell"/>
    <s v="DAP"/>
    <n v="124.06"/>
    <n v="560.88"/>
    <s v="Alluvial"/>
    <n v="20.21"/>
    <s v="2022-05"/>
    <n v="55.243280496209515"/>
    <x v="0"/>
  </r>
  <r>
    <s v="CID56"/>
    <d v="2010-04-29T00:00:00"/>
    <n v="2010"/>
    <x v="2"/>
    <s v="Nagpur"/>
    <s v="Zaid"/>
    <x v="0"/>
    <n v="70.040000000000006"/>
    <n v="123.11"/>
    <n v="1757.68"/>
    <s v="Drip"/>
    <s v="NPK"/>
    <n v="75.650000000000006"/>
    <n v="212.27"/>
    <s v="Alluvial"/>
    <n v="27.04"/>
    <s v="2010-04"/>
    <n v="25.095374071958879"/>
    <x v="0"/>
  </r>
  <r>
    <s v="CID57"/>
    <d v="2015-03-25T00:00:00"/>
    <n v="2014"/>
    <x v="6"/>
    <s v="Gurgaon"/>
    <s v="Rabi"/>
    <x v="5"/>
    <n v="82.39"/>
    <n v="280.48"/>
    <n v="3404.24"/>
    <s v="Canal"/>
    <s v="NPK"/>
    <n v="194.26"/>
    <n v="886.45"/>
    <s v="Red"/>
    <n v="22.24"/>
    <s v="2015-03"/>
    <n v="41.318606627017836"/>
    <x v="0"/>
  </r>
  <r>
    <s v="CID58"/>
    <d v="2011-05-08T00:00:00"/>
    <n v="2011"/>
    <x v="1"/>
    <s v="Ludhiana"/>
    <s v="Zaid"/>
    <x v="3"/>
    <n v="61.03"/>
    <n v="350.58"/>
    <n v="5744.44"/>
    <s v="Borewell"/>
    <s v="Compost"/>
    <n v="243.92"/>
    <n v="580.38"/>
    <s v="Laterite"/>
    <n v="24.46"/>
    <s v="2011-05"/>
    <n v="94.124856627887922"/>
    <x v="0"/>
  </r>
  <r>
    <s v="CID59"/>
    <d v="2019-07-15T00:00:00"/>
    <n v="2019"/>
    <x v="2"/>
    <s v="Mumbai"/>
    <s v="Kharif"/>
    <x v="1"/>
    <n v="96.05"/>
    <n v="153.24"/>
    <n v="1595.4"/>
    <s v="Borewell"/>
    <s v="Vermicompost"/>
    <n v="206.38"/>
    <n v="464.65"/>
    <s v="Black"/>
    <n v="22.36"/>
    <s v="2019-07"/>
    <n v="16.610098906819367"/>
    <x v="0"/>
  </r>
  <r>
    <s v="CID60"/>
    <d v="2010-12-30T00:00:00"/>
    <n v="2010"/>
    <x v="1"/>
    <s v="Ludhiana"/>
    <s v="Rabi"/>
    <x v="3"/>
    <n v="69.25"/>
    <n v="264.5"/>
    <n v="3819.47"/>
    <s v="Canal"/>
    <s v="NPK"/>
    <n v="107.87"/>
    <n v="906.96"/>
    <s v="Laterite"/>
    <n v="21.07"/>
    <s v="2010-12"/>
    <n v="55.154801444043315"/>
    <x v="0"/>
  </r>
  <r>
    <s v="CID61"/>
    <d v="2019-05-21T00:00:00"/>
    <n v="2019"/>
    <x v="4"/>
    <s v="Darjeeling"/>
    <s v="Zaid"/>
    <x v="4"/>
    <n v="43.09"/>
    <n v="183.88"/>
    <n v="4267.37"/>
    <s v="Borewell"/>
    <s v="NPK"/>
    <n v="277.10000000000002"/>
    <n v="1026.6300000000001"/>
    <s v="Black"/>
    <n v="20.89"/>
    <s v="2019-05"/>
    <n v="99.033882571362255"/>
    <x v="0"/>
  </r>
  <r>
    <s v="CID62"/>
    <d v="2019-11-11T00:00:00"/>
    <n v="2019"/>
    <x v="5"/>
    <s v="Bhagalpur"/>
    <s v="Rabi"/>
    <x v="3"/>
    <n v="13.31"/>
    <n v="68.31"/>
    <n v="5132.07"/>
    <s v="Drip"/>
    <s v="Compost"/>
    <n v="285.67"/>
    <n v="700.47"/>
    <s v="Laterite"/>
    <n v="26.57"/>
    <s v="2019-11"/>
    <n v="385.580015026296"/>
    <x v="0"/>
  </r>
  <r>
    <s v="CID63"/>
    <d v="2019-12-15T00:00:00"/>
    <n v="2019"/>
    <x v="0"/>
    <s v="Kanpur"/>
    <s v="Rabi"/>
    <x v="5"/>
    <n v="10.039999999999999"/>
    <n v="67.989999999999995"/>
    <n v="6771.47"/>
    <s v="Canal"/>
    <s v="Compost"/>
    <n v="299.89"/>
    <n v="872.28"/>
    <s v="Alluvial"/>
    <n v="28.64"/>
    <s v="2019-12"/>
    <n v="674.4492031872511"/>
    <x v="0"/>
  </r>
  <r>
    <s v="CID64"/>
    <d v="2017-11-27T00:00:00"/>
    <n v="2017"/>
    <x v="5"/>
    <s v="Bhagalpur"/>
    <s v="Rabi"/>
    <x v="4"/>
    <n v="99.7"/>
    <n v="360.45"/>
    <n v="3615.31"/>
    <s v="Drip"/>
    <s v="DAP"/>
    <n v="292.26"/>
    <n v="670.01"/>
    <s v="Laterite"/>
    <n v="25"/>
    <s v="2017-11"/>
    <n v="36.261885656970911"/>
    <x v="0"/>
  </r>
  <r>
    <s v="CID65"/>
    <d v="2022-02-12T00:00:00"/>
    <n v="2021"/>
    <x v="2"/>
    <s v="Pune"/>
    <s v="Rabi"/>
    <x v="0"/>
    <n v="66.599999999999994"/>
    <n v="226.62"/>
    <n v="3402.71"/>
    <s v="Canal"/>
    <s v="Vermicompost"/>
    <n v="163.71"/>
    <n v="514.52"/>
    <s v="Alluvial"/>
    <n v="21.74"/>
    <s v="2022-02"/>
    <n v="51.09174174174175"/>
    <x v="0"/>
  </r>
  <r>
    <s v="CID66"/>
    <d v="2020-04-14T00:00:00"/>
    <n v="2020"/>
    <x v="4"/>
    <s v="Kolkata"/>
    <s v="Zaid"/>
    <x v="3"/>
    <n v="41.91"/>
    <n v="89.08"/>
    <n v="2125.5"/>
    <s v="Rainfed"/>
    <s v="NPK"/>
    <n v="205.66"/>
    <n v="698.49"/>
    <s v="Laterite"/>
    <n v="31.4"/>
    <s v="2020-04"/>
    <n v="50.715819613457413"/>
    <x v="0"/>
  </r>
  <r>
    <s v="CID67"/>
    <d v="2014-11-24T00:00:00"/>
    <n v="2014"/>
    <x v="5"/>
    <s v="Patna"/>
    <s v="Rabi"/>
    <x v="2"/>
    <n v="48.99"/>
    <n v="57.48"/>
    <n v="1173.22"/>
    <s v="Borewell"/>
    <s v="DAP"/>
    <n v="227.45"/>
    <n v="510.75"/>
    <s v="Black"/>
    <n v="28.28"/>
    <s v="2014-11"/>
    <n v="23.94815268422127"/>
    <x v="0"/>
  </r>
  <r>
    <s v="CID68"/>
    <d v="2017-08-02T00:00:00"/>
    <n v="2017"/>
    <x v="4"/>
    <s v="Kolkata"/>
    <s v="Kharif"/>
    <x v="2"/>
    <n v="83.38"/>
    <n v="332.71"/>
    <n v="3990.25"/>
    <s v="Rainfed"/>
    <s v="Compost"/>
    <n v="177.22"/>
    <n v="473.42"/>
    <s v="Laterite"/>
    <n v="34.700000000000003"/>
    <s v="2017-08"/>
    <n v="47.856200527704488"/>
    <x v="0"/>
  </r>
  <r>
    <s v="CID69"/>
    <d v="2016-10-08T00:00:00"/>
    <n v="2016"/>
    <x v="5"/>
    <s v="Patna"/>
    <s v="Kharif"/>
    <x v="1"/>
    <n v="51.32"/>
    <n v="322.08"/>
    <n v="6275.96"/>
    <s v="Canal"/>
    <s v="NPK"/>
    <n v="119.06"/>
    <n v="990.01"/>
    <s v="Laterite"/>
    <n v="25.1"/>
    <s v="2016-10"/>
    <n v="122.29072486360093"/>
    <x v="0"/>
  </r>
  <r>
    <s v="CID70"/>
    <d v="2014-05-06T00:00:00"/>
    <n v="2014"/>
    <x v="4"/>
    <s v="Kolkata"/>
    <s v="Zaid"/>
    <x v="0"/>
    <n v="83.91"/>
    <n v="375.88"/>
    <n v="4479.54"/>
    <s v="Drip"/>
    <s v="Vermicompost"/>
    <n v="266.32"/>
    <n v="646.54999999999995"/>
    <s v="Laterite"/>
    <n v="25.18"/>
    <s v="2014-05"/>
    <n v="53.385055416517702"/>
    <x v="0"/>
  </r>
  <r>
    <s v="CID71"/>
    <d v="2015-07-09T00:00:00"/>
    <n v="2015"/>
    <x v="3"/>
    <s v="Mysore"/>
    <s v="Kharif"/>
    <x v="2"/>
    <n v="24.64"/>
    <n v="81.260000000000005"/>
    <n v="3297.83"/>
    <s v="Drip"/>
    <s v="Compost"/>
    <n v="60.91"/>
    <n v="944.71"/>
    <s v="Laterite"/>
    <n v="25.79"/>
    <s v="2015-07"/>
    <n v="133.84050324675323"/>
    <x v="0"/>
  </r>
  <r>
    <s v="CID72"/>
    <d v="2018-04-27T00:00:00"/>
    <n v="2018"/>
    <x v="1"/>
    <s v="Ludhiana"/>
    <s v="Zaid"/>
    <x v="0"/>
    <n v="87.1"/>
    <n v="543.95000000000005"/>
    <n v="6245.14"/>
    <s v="Drip"/>
    <s v="DAP"/>
    <n v="74.930000000000007"/>
    <n v="1110.44"/>
    <s v="Black"/>
    <n v="30.84"/>
    <s v="2018-04"/>
    <n v="71.700803673938012"/>
    <x v="0"/>
  </r>
  <r>
    <s v="CID73"/>
    <d v="2023-01-21T00:00:00"/>
    <n v="2022"/>
    <x v="1"/>
    <s v="Amritsar"/>
    <s v="Rabi"/>
    <x v="0"/>
    <n v="62.7"/>
    <n v="212.23"/>
    <n v="3384.9"/>
    <s v="Canal"/>
    <s v="Compost"/>
    <n v="262.94"/>
    <n v="1052.3399999999999"/>
    <s v="Sandy"/>
    <n v="25.7"/>
    <s v="2023-01"/>
    <n v="53.985645933014354"/>
    <x v="0"/>
  </r>
  <r>
    <s v="CID74"/>
    <d v="2010-05-19T00:00:00"/>
    <n v="2010"/>
    <x v="4"/>
    <s v="Darjeeling"/>
    <s v="Zaid"/>
    <x v="5"/>
    <n v="24.24"/>
    <n v="123.78"/>
    <n v="5106.3999999999996"/>
    <s v="Rainfed"/>
    <s v="Urea"/>
    <n v="299.36"/>
    <n v="946.77"/>
    <s v="Laterite"/>
    <n v="34.68"/>
    <s v="2010-05"/>
    <n v="210.66006600660066"/>
    <x v="0"/>
  </r>
  <r>
    <s v="CID75"/>
    <d v="2022-03-25T00:00:00"/>
    <n v="2021"/>
    <x v="3"/>
    <s v="Bangalore"/>
    <s v="Rabi"/>
    <x v="5"/>
    <n v="5.55"/>
    <n v="32.06"/>
    <n v="5776.86"/>
    <s v="Rainfed"/>
    <s v="DAP"/>
    <n v="139.62"/>
    <n v="630.69000000000005"/>
    <s v="Red"/>
    <n v="27.97"/>
    <s v="2022-03"/>
    <n v="1040.8756756756757"/>
    <x v="0"/>
  </r>
  <r>
    <s v="CID76"/>
    <d v="2011-04-01T00:00:00"/>
    <n v="2011"/>
    <x v="6"/>
    <s v="Gurgaon"/>
    <s v="Zaid"/>
    <x v="3"/>
    <n v="62.35"/>
    <n v="152.44"/>
    <n v="2444.98"/>
    <s v="Borewell"/>
    <s v="Compost"/>
    <n v="108.05"/>
    <n v="837.9"/>
    <s v="Laterite"/>
    <n v="23.83"/>
    <s v="2011-04"/>
    <n v="39.213793103448275"/>
    <x v="0"/>
  </r>
  <r>
    <s v="CID77"/>
    <d v="2018-08-17T00:00:00"/>
    <n v="2018"/>
    <x v="2"/>
    <s v="Mumbai"/>
    <s v="Kharif"/>
    <x v="5"/>
    <n v="44.73"/>
    <n v="137.47"/>
    <n v="3073.39"/>
    <s v="Rainfed"/>
    <s v="DAP"/>
    <n v="209.73"/>
    <n v="624.30999999999995"/>
    <s v="Alluvial"/>
    <n v="26.85"/>
    <s v="2018-08"/>
    <n v="68.70981444220881"/>
    <x v="0"/>
  </r>
  <r>
    <s v="CID78"/>
    <d v="2011-10-23T00:00:00"/>
    <n v="2011"/>
    <x v="3"/>
    <s v="Mysore"/>
    <s v="Kharif"/>
    <x v="3"/>
    <n v="57.62"/>
    <n v="256.33999999999997"/>
    <n v="4448.87"/>
    <s v="Rainfed"/>
    <s v="Urea"/>
    <n v="55.48"/>
    <n v="1030.04"/>
    <s v="Laterite"/>
    <n v="24.12"/>
    <s v="2011-10"/>
    <n v="77.210517181534186"/>
    <x v="0"/>
  </r>
  <r>
    <s v="CID79"/>
    <d v="2017-11-11T00:00:00"/>
    <n v="2017"/>
    <x v="5"/>
    <s v="Bhagalpur"/>
    <s v="Rabi"/>
    <x v="4"/>
    <n v="61.1"/>
    <n v="190.26"/>
    <n v="3113.93"/>
    <s v="Borewell"/>
    <s v="NPK"/>
    <n v="205.22"/>
    <n v="877.76"/>
    <s v="Red"/>
    <n v="29.42"/>
    <s v="2017-11"/>
    <n v="50.964484451718491"/>
    <x v="0"/>
  </r>
  <r>
    <s v="CID80"/>
    <d v="2010-05-05T00:00:00"/>
    <n v="2010"/>
    <x v="4"/>
    <s v="Howrah"/>
    <s v="Zaid"/>
    <x v="0"/>
    <n v="73.5"/>
    <n v="113.25"/>
    <n v="1540.8"/>
    <s v="Rainfed"/>
    <s v="NPK"/>
    <n v="131.68"/>
    <n v="615.5"/>
    <s v="Red"/>
    <n v="21.98"/>
    <s v="2010-05"/>
    <n v="20.963265306122448"/>
    <x v="0"/>
  </r>
  <r>
    <s v="CID81"/>
    <d v="2014-06-20T00:00:00"/>
    <n v="2014"/>
    <x v="5"/>
    <s v="Bhagalpur"/>
    <s v="Kharif"/>
    <x v="0"/>
    <n v="91.49"/>
    <n v="609.79"/>
    <n v="6665.13"/>
    <s v="Rainfed"/>
    <s v="DAP"/>
    <n v="236.64"/>
    <n v="538.72"/>
    <s v="Black"/>
    <n v="27.02"/>
    <s v="2014-06"/>
    <n v="72.850912668051151"/>
    <x v="0"/>
  </r>
  <r>
    <s v="CID82"/>
    <d v="2020-04-30T00:00:00"/>
    <n v="2020"/>
    <x v="4"/>
    <s v="Kolkata"/>
    <s v="Zaid"/>
    <x v="2"/>
    <n v="98.01"/>
    <n v="666.82"/>
    <n v="6803.62"/>
    <s v="Rainfed"/>
    <s v="NPK"/>
    <n v="72.58"/>
    <n v="594.57000000000005"/>
    <s v="Alluvial"/>
    <n v="28.05"/>
    <s v="2020-04"/>
    <n v="69.417610447913475"/>
    <x v="0"/>
  </r>
  <r>
    <s v="CID83"/>
    <d v="2021-03-24T00:00:00"/>
    <n v="2020"/>
    <x v="0"/>
    <s v="Varanasi"/>
    <s v="Rabi"/>
    <x v="1"/>
    <n v="38.72"/>
    <n v="187.07"/>
    <n v="4831.3"/>
    <s v="Rainfed"/>
    <s v="NPK"/>
    <n v="77.09"/>
    <n v="433.82"/>
    <s v="Black"/>
    <n v="29.29"/>
    <s v="2021-03"/>
    <n v="124.77530991735539"/>
    <x v="0"/>
  </r>
  <r>
    <s v="CID84"/>
    <d v="2020-08-17T00:00:00"/>
    <n v="2020"/>
    <x v="5"/>
    <s v="Patna"/>
    <s v="Kharif"/>
    <x v="2"/>
    <n v="82.56"/>
    <n v="533.03"/>
    <n v="6456.33"/>
    <s v="Rainfed"/>
    <s v="Compost"/>
    <n v="212.31"/>
    <n v="316.68"/>
    <s v="Black"/>
    <n v="34.19"/>
    <s v="2020-08"/>
    <n v="78.201671511627907"/>
    <x v="0"/>
  </r>
  <r>
    <s v="CID85"/>
    <d v="2013-05-24T00:00:00"/>
    <n v="2013"/>
    <x v="1"/>
    <s v="Ludhiana"/>
    <s v="Zaid"/>
    <x v="4"/>
    <n v="39.479999999999997"/>
    <n v="127.37"/>
    <n v="3226.07"/>
    <s v="Drip"/>
    <s v="Compost"/>
    <n v="196.84"/>
    <n v="926.6"/>
    <s v="Laterite"/>
    <n v="29.82"/>
    <s v="2013-05"/>
    <n v="81.714032421479246"/>
    <x v="0"/>
  </r>
  <r>
    <s v="CID86"/>
    <d v="2014-08-31T00:00:00"/>
    <n v="2014"/>
    <x v="5"/>
    <s v="Gaya"/>
    <s v="Kharif"/>
    <x v="2"/>
    <n v="37.68"/>
    <n v="137.91999999999999"/>
    <n v="3660.3"/>
    <s v="Borewell"/>
    <s v="Urea"/>
    <n v="263.86"/>
    <n v="299.35000000000002"/>
    <s v="Alluvial"/>
    <n v="28.17"/>
    <s v="2014-08"/>
    <n v="97.141719745222929"/>
    <x v="0"/>
  </r>
  <r>
    <s v="CID87"/>
    <d v="2013-07-23T00:00:00"/>
    <n v="2013"/>
    <x v="3"/>
    <s v="Mysore"/>
    <s v="Kharif"/>
    <x v="3"/>
    <n v="10.08"/>
    <n v="22.91"/>
    <n v="2272.63"/>
    <s v="Canal"/>
    <s v="Urea"/>
    <n v="62.64"/>
    <n v="533.51"/>
    <s v="Red"/>
    <n v="31.8"/>
    <s v="2013-07"/>
    <n v="225.45932539682539"/>
    <x v="0"/>
  </r>
  <r>
    <s v="CID88"/>
    <d v="2013-04-10T00:00:00"/>
    <n v="2013"/>
    <x v="4"/>
    <s v="Darjeeling"/>
    <s v="Zaid"/>
    <x v="4"/>
    <n v="81.489999999999995"/>
    <n v="195.41"/>
    <n v="2397.9899999999998"/>
    <s v="Borewell"/>
    <s v="DAP"/>
    <n v="247.16"/>
    <n v="795.98"/>
    <s v="Alluvial"/>
    <n v="32.880000000000003"/>
    <s v="2013-04"/>
    <n v="29.426800834458216"/>
    <x v="0"/>
  </r>
  <r>
    <s v="CID89"/>
    <d v="2022-07-15T00:00:00"/>
    <n v="2022"/>
    <x v="5"/>
    <s v="Gaya"/>
    <s v="Kharif"/>
    <x v="5"/>
    <n v="66.44"/>
    <n v="76.72"/>
    <n v="1154.68"/>
    <s v="Canal"/>
    <s v="NPK"/>
    <n v="139.56"/>
    <n v="988.43"/>
    <s v="Sandy"/>
    <n v="24.86"/>
    <s v="2022-07"/>
    <n v="17.3792895845876"/>
    <x v="0"/>
  </r>
  <r>
    <s v="CID90"/>
    <d v="2021-12-27T00:00:00"/>
    <n v="2021"/>
    <x v="1"/>
    <s v="Ludhiana"/>
    <s v="Rabi"/>
    <x v="1"/>
    <n v="12.25"/>
    <n v="16.920000000000002"/>
    <n v="1381.35"/>
    <s v="Drip"/>
    <s v="Vermicompost"/>
    <n v="244.5"/>
    <n v="713.24"/>
    <s v="Black"/>
    <n v="26.78"/>
    <s v="2021-12"/>
    <n v="112.76326530612243"/>
    <x v="0"/>
  </r>
  <r>
    <s v="CID91"/>
    <d v="2022-04-07T00:00:00"/>
    <n v="2022"/>
    <x v="1"/>
    <s v="Patiala"/>
    <s v="Zaid"/>
    <x v="1"/>
    <n v="30.86"/>
    <n v="149.97999999999999"/>
    <n v="4860.04"/>
    <s v="Canal"/>
    <s v="Compost"/>
    <n v="65.209999999999994"/>
    <n v="678.98"/>
    <s v="Laterite"/>
    <n v="26.39"/>
    <s v="2022-04"/>
    <n v="157.48671419313027"/>
    <x v="0"/>
  </r>
  <r>
    <s v="CID92"/>
    <d v="2011-10-31T00:00:00"/>
    <n v="2011"/>
    <x v="0"/>
    <s v="Kanpur"/>
    <s v="Kharif"/>
    <x v="0"/>
    <n v="61.22"/>
    <n v="85.35"/>
    <n v="1394.09"/>
    <s v="Rainfed"/>
    <s v="Vermicompost"/>
    <n v="206.08"/>
    <n v="785.36"/>
    <s v="Alluvial"/>
    <n v="25.71"/>
    <s v="2011-10"/>
    <n v="22.771806599150604"/>
    <x v="0"/>
  </r>
  <r>
    <s v="CID93"/>
    <d v="2018-04-30T00:00:00"/>
    <n v="2018"/>
    <x v="2"/>
    <s v="Pune"/>
    <s v="Zaid"/>
    <x v="3"/>
    <n v="10.82"/>
    <n v="56.38"/>
    <n v="5210.68"/>
    <s v="Borewell"/>
    <s v="Compost"/>
    <n v="157.52000000000001"/>
    <n v="1088.0899999999999"/>
    <s v="Laterite"/>
    <n v="25.08"/>
    <s v="2018-04"/>
    <n v="481.57855822550835"/>
    <x v="0"/>
  </r>
  <r>
    <s v="CID94"/>
    <d v="2011-11-24T00:00:00"/>
    <n v="2011"/>
    <x v="3"/>
    <s v="Hubli"/>
    <s v="Rabi"/>
    <x v="3"/>
    <n v="31.94"/>
    <n v="80.790000000000006"/>
    <n v="2529.34"/>
    <s v="Borewell"/>
    <s v="Compost"/>
    <n v="221.71"/>
    <n v="674.27"/>
    <s v="Black"/>
    <n v="32.479999999999997"/>
    <s v="2011-11"/>
    <n v="79.190356919223547"/>
    <x v="0"/>
  </r>
  <r>
    <s v="CID95"/>
    <d v="2021-11-14T00:00:00"/>
    <n v="2021"/>
    <x v="1"/>
    <s v="Patiala"/>
    <s v="Rabi"/>
    <x v="4"/>
    <n v="56.08"/>
    <n v="253.41"/>
    <n v="4518.79"/>
    <s v="Rainfed"/>
    <s v="NPK"/>
    <n v="217.5"/>
    <n v="610.80999999999995"/>
    <s v="Laterite"/>
    <n v="33.020000000000003"/>
    <s v="2021-11"/>
    <n v="80.577567760342376"/>
    <x v="0"/>
  </r>
  <r>
    <s v="CID96"/>
    <d v="2015-08-11T00:00:00"/>
    <n v="2015"/>
    <x v="5"/>
    <s v="Gaya"/>
    <s v="Kharif"/>
    <x v="1"/>
    <n v="51.23"/>
    <n v="98.79"/>
    <n v="1928.38"/>
    <s v="Drip"/>
    <s v="Vermicompost"/>
    <n v="106.06"/>
    <n v="308.22000000000003"/>
    <s v="Sandy"/>
    <n v="25.51"/>
    <s v="2015-08"/>
    <n v="37.641616240484097"/>
    <x v="0"/>
  </r>
  <r>
    <s v="CID97"/>
    <d v="2018-04-23T00:00:00"/>
    <n v="2018"/>
    <x v="6"/>
    <s v="Faridabad"/>
    <s v="Zaid"/>
    <x v="1"/>
    <n v="67.819999999999993"/>
    <n v="294.37"/>
    <n v="4340.4399999999996"/>
    <s v="Rainfed"/>
    <s v="Urea"/>
    <n v="57.24"/>
    <n v="473.27"/>
    <s v="Alluvial"/>
    <n v="33.82"/>
    <s v="2018-04"/>
    <n v="63.999410203479798"/>
    <x v="0"/>
  </r>
  <r>
    <s v="CID98"/>
    <d v="2019-04-22T00:00:00"/>
    <n v="2019"/>
    <x v="6"/>
    <s v="Gurgaon"/>
    <s v="Zaid"/>
    <x v="3"/>
    <n v="7.89"/>
    <n v="42.97"/>
    <n v="5445.81"/>
    <s v="Canal"/>
    <s v="DAP"/>
    <n v="72.94"/>
    <n v="730.48"/>
    <s v="Laterite"/>
    <n v="26.3"/>
    <s v="2019-04"/>
    <n v="690.21673003802289"/>
    <x v="0"/>
  </r>
  <r>
    <s v="CID99"/>
    <d v="2022-02-17T00:00:00"/>
    <n v="2021"/>
    <x v="2"/>
    <s v="Pune"/>
    <s v="Rabi"/>
    <x v="1"/>
    <n v="60.03"/>
    <n v="378.19"/>
    <n v="6300.05"/>
    <s v="Borewell"/>
    <s v="Compost"/>
    <n v="89.35"/>
    <n v="817.84"/>
    <s v="Black"/>
    <n v="24.08"/>
    <s v="2022-02"/>
    <n v="104.94835915375646"/>
    <x v="0"/>
  </r>
  <r>
    <s v="CID100"/>
    <d v="2017-01-18T00:00:00"/>
    <n v="2016"/>
    <x v="5"/>
    <s v="Gaya"/>
    <s v="Rabi"/>
    <x v="4"/>
    <n v="75.739999999999995"/>
    <n v="127.46"/>
    <n v="1682.91"/>
    <s v="Drip"/>
    <s v="Urea"/>
    <n v="77.72"/>
    <n v="878.22"/>
    <s v="Sandy"/>
    <n v="27.3"/>
    <s v="2017-01"/>
    <n v="22.219566939529972"/>
    <x v="0"/>
  </r>
  <r>
    <s v="CID101"/>
    <d v="2019-09-19T00:00:00"/>
    <n v="2019"/>
    <x v="6"/>
    <s v="Faridabad"/>
    <s v="Kharif"/>
    <x v="5"/>
    <n v="21.24"/>
    <n v="141.71"/>
    <n v="6671.94"/>
    <s v="Borewell"/>
    <s v="DAP"/>
    <n v="241.04"/>
    <n v="489.45"/>
    <s v="Black"/>
    <n v="20.12"/>
    <s v="2019-09"/>
    <n v="314.12146892655369"/>
    <x v="0"/>
  </r>
  <r>
    <s v="CID102"/>
    <d v="2018-04-30T00:00:00"/>
    <n v="2018"/>
    <x v="6"/>
    <s v="Faridabad"/>
    <s v="Zaid"/>
    <x v="4"/>
    <n v="50.53"/>
    <n v="303.19"/>
    <n v="6000.13"/>
    <s v="Rainfed"/>
    <s v="Urea"/>
    <n v="68.02"/>
    <n v="1061.76"/>
    <s v="Black"/>
    <n v="26.54"/>
    <s v="2018-04"/>
    <n v="118.74391450623392"/>
    <x v="0"/>
  </r>
  <r>
    <s v="CID103"/>
    <d v="2020-02-26T00:00:00"/>
    <n v="2019"/>
    <x v="4"/>
    <s v="Howrah"/>
    <s v="Rabi"/>
    <x v="1"/>
    <n v="41.04"/>
    <n v="198.67"/>
    <n v="4840.8500000000004"/>
    <s v="Rainfed"/>
    <s v="NPK"/>
    <n v="78.790000000000006"/>
    <n v="220.86"/>
    <s v="Alluvial"/>
    <n v="22.58"/>
    <s v="2020-02"/>
    <n v="117.95443469785576"/>
    <x v="0"/>
  </r>
  <r>
    <s v="CID104"/>
    <d v="2011-07-14T00:00:00"/>
    <n v="2011"/>
    <x v="1"/>
    <s v="Amritsar"/>
    <s v="Kharif"/>
    <x v="3"/>
    <n v="59.3"/>
    <n v="245.73"/>
    <n v="4143.78"/>
    <s v="Drip"/>
    <s v="Urea"/>
    <n v="267.63"/>
    <n v="945.8"/>
    <s v="Red"/>
    <n v="25"/>
    <s v="2011-07"/>
    <n v="69.878246205733561"/>
    <x v="0"/>
  </r>
  <r>
    <s v="CID105"/>
    <d v="2011-04-10T00:00:00"/>
    <n v="2011"/>
    <x v="5"/>
    <s v="Bhagalpur"/>
    <s v="Zaid"/>
    <x v="1"/>
    <n v="20.2"/>
    <n v="114.28"/>
    <n v="5657.37"/>
    <s v="Rainfed"/>
    <s v="NPK"/>
    <n v="231.84"/>
    <n v="1018.95"/>
    <s v="Red"/>
    <n v="23.54"/>
    <s v="2011-04"/>
    <n v="280.06782178217821"/>
    <x v="0"/>
  </r>
  <r>
    <s v="CID106"/>
    <d v="2019-10-23T00:00:00"/>
    <n v="2019"/>
    <x v="6"/>
    <s v="Gurgaon"/>
    <s v="Kharif"/>
    <x v="2"/>
    <n v="8.4600000000000009"/>
    <n v="56.75"/>
    <n v="6707.75"/>
    <s v="Drip"/>
    <s v="Vermicompost"/>
    <n v="165.99"/>
    <n v="763.74"/>
    <s v="Sandy"/>
    <n v="26.73"/>
    <s v="2019-10"/>
    <n v="792.87825059101647"/>
    <x v="0"/>
  </r>
  <r>
    <s v="CID107"/>
    <d v="2015-08-19T00:00:00"/>
    <n v="2015"/>
    <x v="2"/>
    <s v="Mumbai"/>
    <s v="Kharif"/>
    <x v="3"/>
    <n v="7.76"/>
    <n v="28.35"/>
    <n v="3653.25"/>
    <s v="Rainfed"/>
    <s v="Compost"/>
    <n v="249.08"/>
    <n v="791.42"/>
    <s v="Alluvial"/>
    <n v="27.61"/>
    <s v="2015-08"/>
    <n v="470.77963917525773"/>
    <x v="0"/>
  </r>
  <r>
    <s v="CID108"/>
    <d v="2010-11-11T00:00:00"/>
    <n v="2010"/>
    <x v="3"/>
    <s v="Bangalore"/>
    <s v="Rabi"/>
    <x v="0"/>
    <n v="8.6"/>
    <n v="53.2"/>
    <n v="6185.5"/>
    <s v="Canal"/>
    <s v="Compost"/>
    <n v="203.75"/>
    <n v="707.07"/>
    <s v="Laterite"/>
    <n v="28.7"/>
    <s v="2010-11"/>
    <n v="719.24418604651169"/>
    <x v="0"/>
  </r>
  <r>
    <s v="CID109"/>
    <d v="2020-06-22T00:00:00"/>
    <n v="2020"/>
    <x v="4"/>
    <s v="Darjeeling"/>
    <s v="Kharif"/>
    <x v="0"/>
    <n v="60.9"/>
    <n v="244.1"/>
    <n v="4008.2"/>
    <s v="Canal"/>
    <s v="Vermicompost"/>
    <n v="162.63"/>
    <n v="1010.97"/>
    <s v="Alluvial"/>
    <n v="34.74"/>
    <s v="2020-06"/>
    <n v="65.816091954022994"/>
    <x v="0"/>
  </r>
  <r>
    <s v="CID110"/>
    <d v="2010-08-26T00:00:00"/>
    <n v="2010"/>
    <x v="0"/>
    <s v="Lucknow"/>
    <s v="Kharif"/>
    <x v="2"/>
    <n v="44.34"/>
    <n v="161.24"/>
    <n v="3636.53"/>
    <s v="Borewell"/>
    <s v="Vermicompost"/>
    <n v="140.97"/>
    <n v="1117.94"/>
    <s v="Laterite"/>
    <n v="26.13"/>
    <s v="2010-08"/>
    <n v="82.014659449706812"/>
    <x v="0"/>
  </r>
  <r>
    <s v="CID111"/>
    <d v="2021-01-25T00:00:00"/>
    <n v="2020"/>
    <x v="1"/>
    <s v="Patiala"/>
    <s v="Rabi"/>
    <x v="5"/>
    <n v="33.64"/>
    <n v="146.26"/>
    <n v="4347.78"/>
    <s v="Drip"/>
    <s v="Urea"/>
    <n v="121.04"/>
    <n v="923.73"/>
    <s v="Sandy"/>
    <n v="33.1"/>
    <s v="2021-01"/>
    <n v="129.24435196195006"/>
    <x v="0"/>
  </r>
  <r>
    <s v="CID112"/>
    <d v="2013-02-05T00:00:00"/>
    <n v="2012"/>
    <x v="5"/>
    <s v="Bhagalpur"/>
    <s v="Rabi"/>
    <x v="0"/>
    <n v="96.8"/>
    <n v="502.48"/>
    <n v="5190.88"/>
    <s v="Drip"/>
    <s v="NPK"/>
    <n v="82.24"/>
    <n v="908.83"/>
    <s v="Black"/>
    <n v="24.64"/>
    <s v="2013-02"/>
    <n v="53.624793388429758"/>
    <x v="0"/>
  </r>
  <r>
    <s v="CID113"/>
    <d v="2020-04-20T00:00:00"/>
    <n v="2020"/>
    <x v="4"/>
    <s v="Kolkata"/>
    <s v="Zaid"/>
    <x v="2"/>
    <n v="99.72"/>
    <n v="645.66"/>
    <n v="6474.69"/>
    <s v="Canal"/>
    <s v="DAP"/>
    <n v="211.51"/>
    <n v="623.41"/>
    <s v="Alluvial"/>
    <n v="20.27"/>
    <s v="2020-04"/>
    <n v="64.928700361010826"/>
    <x v="0"/>
  </r>
  <r>
    <s v="CID114"/>
    <d v="2023-03-15T00:00:00"/>
    <n v="2022"/>
    <x v="6"/>
    <s v="Faridabad"/>
    <s v="Rabi"/>
    <x v="4"/>
    <n v="23.43"/>
    <n v="42.77"/>
    <n v="1825.39"/>
    <s v="Canal"/>
    <s v="Urea"/>
    <n v="123.95"/>
    <n v="988.12"/>
    <s v="Sandy"/>
    <n v="31.56"/>
    <s v="2023-03"/>
    <n v="77.90823730260351"/>
    <x v="0"/>
  </r>
  <r>
    <s v="CID115"/>
    <d v="2022-04-03T00:00:00"/>
    <n v="2022"/>
    <x v="0"/>
    <s v="Kanpur"/>
    <s v="Zaid"/>
    <x v="4"/>
    <n v="60.13"/>
    <n v="115.78"/>
    <n v="1925.52"/>
    <s v="Borewell"/>
    <s v="Compost"/>
    <n v="257.83999999999997"/>
    <n v="971.1"/>
    <s v="Red"/>
    <n v="30.82"/>
    <s v="2022-04"/>
    <n v="32.022617661732909"/>
    <x v="0"/>
  </r>
  <r>
    <s v="CID116"/>
    <d v="2021-07-20T00:00:00"/>
    <n v="2021"/>
    <x v="2"/>
    <s v="Mumbai"/>
    <s v="Kharif"/>
    <x v="3"/>
    <n v="61.45"/>
    <n v="338.86"/>
    <n v="5514.35"/>
    <s v="Drip"/>
    <s v="NPK"/>
    <n v="108.5"/>
    <n v="439.17"/>
    <s v="Laterite"/>
    <n v="33.56"/>
    <s v="2021-07"/>
    <n v="89.737184703010584"/>
    <x v="0"/>
  </r>
  <r>
    <s v="CID117"/>
    <d v="2018-01-04T00:00:00"/>
    <n v="2017"/>
    <x v="0"/>
    <s v="Varanasi"/>
    <s v="Rabi"/>
    <x v="0"/>
    <n v="78.03"/>
    <n v="313.48"/>
    <n v="4017.44"/>
    <s v="Drip"/>
    <s v="Urea"/>
    <n v="291.57"/>
    <n v="1016.89"/>
    <s v="Sandy"/>
    <n v="22.08"/>
    <s v="2018-01"/>
    <n v="51.485838779956424"/>
    <x v="0"/>
  </r>
  <r>
    <s v="CID118"/>
    <d v="2015-05-03T00:00:00"/>
    <n v="2015"/>
    <x v="0"/>
    <s v="Kanpur"/>
    <s v="Zaid"/>
    <x v="5"/>
    <n v="71.430000000000007"/>
    <n v="292.54000000000002"/>
    <n v="4095.46"/>
    <s v="Canal"/>
    <s v="DAP"/>
    <n v="121.27"/>
    <n v="963.12"/>
    <s v="Alluvial"/>
    <n v="26.74"/>
    <s v="2015-05"/>
    <n v="57.335293294134111"/>
    <x v="0"/>
  </r>
  <r>
    <s v="CID119"/>
    <d v="2011-06-21T00:00:00"/>
    <n v="2011"/>
    <x v="4"/>
    <s v="Howrah"/>
    <s v="Kharif"/>
    <x v="3"/>
    <n v="88.58"/>
    <n v="583.11"/>
    <n v="6582.83"/>
    <s v="Drip"/>
    <s v="NPK"/>
    <n v="63.31"/>
    <n v="702.01"/>
    <s v="Red"/>
    <n v="25.79"/>
    <s v="2011-06"/>
    <n v="74.315082411379549"/>
    <x v="0"/>
  </r>
  <r>
    <s v="CID120"/>
    <d v="2015-07-06T00:00:00"/>
    <n v="2015"/>
    <x v="6"/>
    <s v="Gurgaon"/>
    <s v="Kharif"/>
    <x v="2"/>
    <n v="65.349999999999994"/>
    <n v="375.65"/>
    <n v="5748.28"/>
    <s v="Borewell"/>
    <s v="Compost"/>
    <n v="59.58"/>
    <n v="1117.4000000000001"/>
    <s v="Laterite"/>
    <n v="30.44"/>
    <s v="2015-07"/>
    <n v="87.961438408569251"/>
    <x v="0"/>
  </r>
  <r>
    <s v="CID121"/>
    <d v="2010-08-01T00:00:00"/>
    <n v="2010"/>
    <x v="3"/>
    <s v="Hubli"/>
    <s v="Kharif"/>
    <x v="5"/>
    <n v="26.34"/>
    <n v="158.30000000000001"/>
    <n v="6009.78"/>
    <s v="Drip"/>
    <s v="Compost"/>
    <n v="77.8"/>
    <n v="488.1"/>
    <s v="Alluvial"/>
    <n v="21.83"/>
    <s v="2010-08"/>
    <n v="228.16173120728928"/>
    <x v="0"/>
  </r>
  <r>
    <s v="CID122"/>
    <d v="2017-06-01T00:00:00"/>
    <n v="2017"/>
    <x v="0"/>
    <s v="Varanasi"/>
    <s v="Kharif"/>
    <x v="5"/>
    <n v="83.83"/>
    <n v="335.23"/>
    <n v="3998.98"/>
    <s v="Canal"/>
    <s v="Vermicompost"/>
    <n v="207.99"/>
    <n v="775.05"/>
    <s v="Red"/>
    <n v="24.37"/>
    <s v="2017-06"/>
    <n v="47.703447453179052"/>
    <x v="0"/>
  </r>
  <r>
    <s v="CID123"/>
    <d v="2020-03-09T00:00:00"/>
    <n v="2019"/>
    <x v="2"/>
    <s v="Nagpur"/>
    <s v="Rabi"/>
    <x v="4"/>
    <n v="66.77"/>
    <n v="101.07"/>
    <n v="1513.68"/>
    <s v="Rainfed"/>
    <s v="Vermicompost"/>
    <n v="66.92"/>
    <n v="726.06"/>
    <s v="Sandy"/>
    <n v="31.8"/>
    <s v="2020-03"/>
    <n v="22.670061404822526"/>
    <x v="0"/>
  </r>
  <r>
    <s v="CID124"/>
    <d v="2017-06-27T00:00:00"/>
    <n v="2017"/>
    <x v="1"/>
    <s v="Amritsar"/>
    <s v="Kharif"/>
    <x v="2"/>
    <n v="39.299999999999997"/>
    <n v="127.32"/>
    <n v="3239.81"/>
    <s v="Canal"/>
    <s v="Vermicompost"/>
    <n v="139.27000000000001"/>
    <n v="267.56"/>
    <s v="Red"/>
    <n v="30.99"/>
    <s v="2017-06"/>
    <n v="82.437913486005087"/>
    <x v="0"/>
  </r>
  <r>
    <s v="CID125"/>
    <d v="2012-07-05T00:00:00"/>
    <n v="2012"/>
    <x v="0"/>
    <s v="Kanpur"/>
    <s v="Kharif"/>
    <x v="0"/>
    <n v="55.06"/>
    <n v="323.81"/>
    <n v="5881.05"/>
    <s v="Borewell"/>
    <s v="Urea"/>
    <n v="257.60000000000002"/>
    <n v="884.68"/>
    <s v="Laterite"/>
    <n v="29.48"/>
    <s v="2012-07"/>
    <n v="106.81166000726481"/>
    <x v="0"/>
  </r>
  <r>
    <s v="CID126"/>
    <d v="2011-03-20T00:00:00"/>
    <n v="2010"/>
    <x v="0"/>
    <s v="Kanpur"/>
    <s v="Rabi"/>
    <x v="4"/>
    <n v="5.34"/>
    <n v="11.73"/>
    <n v="2196.8200000000002"/>
    <s v="Canal"/>
    <s v="Compost"/>
    <n v="128.9"/>
    <n v="510.08"/>
    <s v="Laterite"/>
    <n v="34.840000000000003"/>
    <s v="2011-03"/>
    <n v="411.38951310861427"/>
    <x v="0"/>
  </r>
  <r>
    <s v="CID127"/>
    <d v="2022-04-28T00:00:00"/>
    <n v="2022"/>
    <x v="2"/>
    <s v="Nagpur"/>
    <s v="Zaid"/>
    <x v="4"/>
    <n v="29.32"/>
    <n v="180.99"/>
    <n v="6172.83"/>
    <s v="Canal"/>
    <s v="Compost"/>
    <n v="266.45"/>
    <n v="531.91999999999996"/>
    <s v="Black"/>
    <n v="31.99"/>
    <s v="2022-04"/>
    <n v="210.53308321964528"/>
    <x v="0"/>
  </r>
  <r>
    <s v="CID128"/>
    <d v="2016-12-17T00:00:00"/>
    <n v="2016"/>
    <x v="0"/>
    <s v="Kanpur"/>
    <s v="Rabi"/>
    <x v="4"/>
    <n v="50.12"/>
    <n v="199.74"/>
    <n v="3985.14"/>
    <s v="Rainfed"/>
    <s v="Vermicompost"/>
    <n v="250.29"/>
    <n v="927.08"/>
    <s v="Black"/>
    <n v="26.46"/>
    <s v="2016-12"/>
    <n v="79.511971268954511"/>
    <x v="0"/>
  </r>
  <r>
    <s v="CID129"/>
    <d v="2011-08-30T00:00:00"/>
    <n v="2011"/>
    <x v="2"/>
    <s v="Pune"/>
    <s v="Kharif"/>
    <x v="0"/>
    <n v="66.430000000000007"/>
    <n v="188.59"/>
    <n v="2838.98"/>
    <s v="Drip"/>
    <s v="Vermicompost"/>
    <n v="91.66"/>
    <n v="643.91"/>
    <s v="Laterite"/>
    <n v="20.64"/>
    <s v="2011-08"/>
    <n v="42.736414270660845"/>
    <x v="0"/>
  </r>
  <r>
    <s v="CID130"/>
    <d v="2020-09-21T00:00:00"/>
    <n v="2020"/>
    <x v="3"/>
    <s v="Mysore"/>
    <s v="Kharif"/>
    <x v="5"/>
    <n v="67.45"/>
    <n v="231.84"/>
    <n v="3437.26"/>
    <s v="Borewell"/>
    <s v="Urea"/>
    <n v="288.2"/>
    <n v="342.78"/>
    <s v="Sandy"/>
    <n v="30.17"/>
    <s v="2020-09"/>
    <n v="50.960118606375097"/>
    <x v="0"/>
  </r>
  <r>
    <s v="CID131"/>
    <d v="2013-05-19T00:00:00"/>
    <n v="2013"/>
    <x v="6"/>
    <s v="Gurgaon"/>
    <s v="Zaid"/>
    <x v="0"/>
    <n v="36.85"/>
    <n v="246.78"/>
    <n v="6696.8"/>
    <s v="Canal"/>
    <s v="Urea"/>
    <n v="201.27"/>
    <n v="879.06"/>
    <s v="Alluvial"/>
    <n v="25.58"/>
    <s v="2013-05"/>
    <n v="181.73134328358208"/>
    <x v="0"/>
  </r>
  <r>
    <s v="CID132"/>
    <d v="2019-03-24T00:00:00"/>
    <n v="2018"/>
    <x v="5"/>
    <s v="Patna"/>
    <s v="Rabi"/>
    <x v="3"/>
    <n v="32.119999999999997"/>
    <n v="85.83"/>
    <n v="2672.14"/>
    <s v="Canal"/>
    <s v="Urea"/>
    <n v="56.48"/>
    <n v="386.05"/>
    <s v="Sandy"/>
    <n v="25.8"/>
    <s v="2019-03"/>
    <n v="83.192403486924036"/>
    <x v="0"/>
  </r>
  <r>
    <s v="CID133"/>
    <d v="2022-02-22T00:00:00"/>
    <n v="2021"/>
    <x v="2"/>
    <s v="Pune"/>
    <s v="Rabi"/>
    <x v="4"/>
    <n v="99.64"/>
    <n v="270.37"/>
    <n v="2713.46"/>
    <s v="Drip"/>
    <s v="Urea"/>
    <n v="100.04"/>
    <n v="335.73"/>
    <s v="Black"/>
    <n v="26.78"/>
    <s v="2022-02"/>
    <n v="27.232637494981937"/>
    <x v="0"/>
  </r>
  <r>
    <s v="CID134"/>
    <d v="2015-05-03T00:00:00"/>
    <n v="2015"/>
    <x v="4"/>
    <s v="Darjeeling"/>
    <s v="Zaid"/>
    <x v="0"/>
    <n v="71.239999999999995"/>
    <n v="306.33"/>
    <n v="4299.9799999999996"/>
    <s v="Rainfed"/>
    <s v="DAP"/>
    <n v="272.83"/>
    <n v="1051.3599999999999"/>
    <s v="Red"/>
    <n v="31.91"/>
    <s v="2015-05"/>
    <n v="60.35906793935991"/>
    <x v="0"/>
  </r>
  <r>
    <s v="CID135"/>
    <d v="2022-06-23T00:00:00"/>
    <n v="2022"/>
    <x v="1"/>
    <s v="Ludhiana"/>
    <s v="Kharif"/>
    <x v="4"/>
    <n v="79.25"/>
    <n v="91.75"/>
    <n v="1157.7"/>
    <s v="Rainfed"/>
    <s v="Urea"/>
    <n v="166.85"/>
    <n v="1183.01"/>
    <s v="Red"/>
    <n v="29.18"/>
    <s v="2022-06"/>
    <n v="14.60820189274448"/>
    <x v="0"/>
  </r>
  <r>
    <s v="CID136"/>
    <d v="2021-05-14T00:00:00"/>
    <n v="2021"/>
    <x v="2"/>
    <s v="Pune"/>
    <s v="Zaid"/>
    <x v="3"/>
    <n v="53.04"/>
    <n v="297.82"/>
    <n v="5614.99"/>
    <s v="Canal"/>
    <s v="Vermicompost"/>
    <n v="81.33"/>
    <n v="517.03"/>
    <s v="Black"/>
    <n v="26.75"/>
    <s v="2021-05"/>
    <n v="105.86331070889894"/>
    <x v="0"/>
  </r>
  <r>
    <s v="CID137"/>
    <d v="2022-05-04T00:00:00"/>
    <n v="2022"/>
    <x v="2"/>
    <s v="Nagpur"/>
    <s v="Zaid"/>
    <x v="2"/>
    <n v="59.19"/>
    <n v="331.86"/>
    <n v="5606.69"/>
    <s v="Borewell"/>
    <s v="DAP"/>
    <n v="158.15"/>
    <n v="1110.71"/>
    <s v="Black"/>
    <n v="32.47"/>
    <s v="2022-05"/>
    <n v="94.7236019597905"/>
    <x v="0"/>
  </r>
  <r>
    <s v="CID138"/>
    <d v="2013-01-17T00:00:00"/>
    <n v="2012"/>
    <x v="2"/>
    <s v="Nagpur"/>
    <s v="Rabi"/>
    <x v="2"/>
    <n v="23.32"/>
    <n v="155.88999999999999"/>
    <n v="6684.9"/>
    <s v="Rainfed"/>
    <s v="Vermicompost"/>
    <n v="261.48"/>
    <n v="450.61"/>
    <s v="Sandy"/>
    <n v="24.12"/>
    <s v="2013-01"/>
    <n v="286.65951972555746"/>
    <x v="0"/>
  </r>
  <r>
    <s v="CID139"/>
    <d v="2018-05-30T00:00:00"/>
    <n v="2018"/>
    <x v="5"/>
    <s v="Patna"/>
    <s v="Zaid"/>
    <x v="4"/>
    <n v="59.59"/>
    <n v="267.19"/>
    <n v="4483.88"/>
    <s v="Borewell"/>
    <s v="Vermicompost"/>
    <n v="214.68"/>
    <n v="920.63"/>
    <s v="Sandy"/>
    <n v="25.06"/>
    <s v="2018-05"/>
    <n v="75.245510991777138"/>
    <x v="0"/>
  </r>
  <r>
    <s v="CID140"/>
    <d v="2011-10-18T00:00:00"/>
    <n v="2011"/>
    <x v="1"/>
    <s v="Ludhiana"/>
    <s v="Kharif"/>
    <x v="2"/>
    <n v="77.33"/>
    <n v="200.13"/>
    <n v="2587.94"/>
    <s v="Borewell"/>
    <s v="NPK"/>
    <n v="241.74"/>
    <n v="616.59"/>
    <s v="Black"/>
    <n v="27.47"/>
    <s v="2011-10"/>
    <n v="33.466183887236518"/>
    <x v="0"/>
  </r>
  <r>
    <s v="CID141"/>
    <d v="2017-07-07T00:00:00"/>
    <n v="2017"/>
    <x v="0"/>
    <s v="Kanpur"/>
    <s v="Kharif"/>
    <x v="2"/>
    <n v="41.2"/>
    <n v="153.32"/>
    <n v="3721.26"/>
    <s v="Canal"/>
    <s v="NPK"/>
    <n v="89.52"/>
    <n v="615.62"/>
    <s v="Laterite"/>
    <n v="23.06"/>
    <s v="2017-07"/>
    <n v="90.321844660194174"/>
    <x v="0"/>
  </r>
  <r>
    <s v="CID142"/>
    <d v="2015-04-18T00:00:00"/>
    <n v="2015"/>
    <x v="4"/>
    <s v="Darjeeling"/>
    <s v="Zaid"/>
    <x v="0"/>
    <n v="97.56"/>
    <n v="174.11"/>
    <n v="1784.6"/>
    <s v="Rainfed"/>
    <s v="Compost"/>
    <n v="178.75"/>
    <n v="306.18"/>
    <s v="Red"/>
    <n v="27"/>
    <s v="2015-04"/>
    <n v="18.292332923329234"/>
    <x v="0"/>
  </r>
  <r>
    <s v="CID143"/>
    <d v="2011-10-26T00:00:00"/>
    <n v="2011"/>
    <x v="6"/>
    <s v="Gurgaon"/>
    <s v="Kharif"/>
    <x v="0"/>
    <n v="94.59"/>
    <n v="585.04"/>
    <n v="6184.98"/>
    <s v="Drip"/>
    <s v="NPK"/>
    <n v="112.07"/>
    <n v="1065.31"/>
    <s v="Red"/>
    <n v="32.200000000000003"/>
    <s v="2011-10"/>
    <n v="65.387250237868685"/>
    <x v="0"/>
  </r>
  <r>
    <s v="CID144"/>
    <d v="2017-04-14T00:00:00"/>
    <n v="2017"/>
    <x v="6"/>
    <s v="Gurgaon"/>
    <s v="Zaid"/>
    <x v="3"/>
    <n v="50.38"/>
    <n v="143.65"/>
    <n v="2851.24"/>
    <s v="Canal"/>
    <s v="Vermicompost"/>
    <n v="72.510000000000005"/>
    <n v="593.24"/>
    <s v="Laterite"/>
    <n v="34.5"/>
    <s v="2017-04"/>
    <n v="56.594680428741555"/>
    <x v="0"/>
  </r>
  <r>
    <s v="CID145"/>
    <d v="2011-01-07T00:00:00"/>
    <n v="2010"/>
    <x v="2"/>
    <s v="Nagpur"/>
    <s v="Rabi"/>
    <x v="3"/>
    <n v="60.15"/>
    <n v="364.33"/>
    <n v="6057.1"/>
    <s v="Drip"/>
    <s v="NPK"/>
    <n v="121.44"/>
    <n v="208.18"/>
    <s v="Black"/>
    <n v="26.46"/>
    <s v="2011-01"/>
    <n v="100.69991687448048"/>
    <x v="0"/>
  </r>
  <r>
    <s v="CID146"/>
    <d v="2015-10-19T00:00:00"/>
    <n v="2015"/>
    <x v="4"/>
    <s v="Howrah"/>
    <s v="Kharif"/>
    <x v="3"/>
    <n v="6.06"/>
    <n v="26.49"/>
    <n v="4370.8999999999996"/>
    <s v="Rainfed"/>
    <s v="NPK"/>
    <n v="188.31"/>
    <n v="273.52999999999997"/>
    <s v="Sandy"/>
    <n v="26.76"/>
    <s v="2015-10"/>
    <n v="721.27062706270624"/>
    <x v="0"/>
  </r>
  <r>
    <s v="CID147"/>
    <d v="2020-04-13T00:00:00"/>
    <n v="2020"/>
    <x v="4"/>
    <s v="Darjeeling"/>
    <s v="Zaid"/>
    <x v="5"/>
    <n v="13.74"/>
    <n v="21.71"/>
    <n v="1580.09"/>
    <s v="Rainfed"/>
    <s v="Vermicompost"/>
    <n v="248.72"/>
    <n v="539.09"/>
    <s v="Alluvial"/>
    <n v="31.32"/>
    <s v="2020-04"/>
    <n v="114.99927219796214"/>
    <x v="0"/>
  </r>
  <r>
    <s v="CID148"/>
    <d v="2018-08-21T00:00:00"/>
    <n v="2018"/>
    <x v="5"/>
    <s v="Gaya"/>
    <s v="Kharif"/>
    <x v="5"/>
    <n v="4.8499999999999996"/>
    <n v="25.62"/>
    <n v="5281.55"/>
    <s v="Drip"/>
    <s v="DAP"/>
    <n v="179.83"/>
    <n v="348.94"/>
    <s v="Sandy"/>
    <n v="22.1"/>
    <s v="2018-08"/>
    <n v="1088.9793814432992"/>
    <x v="0"/>
  </r>
  <r>
    <s v="CID149"/>
    <d v="2021-11-29T00:00:00"/>
    <n v="2021"/>
    <x v="3"/>
    <s v="Hubli"/>
    <s v="Rabi"/>
    <x v="1"/>
    <n v="34.299999999999997"/>
    <n v="204.76"/>
    <n v="5969.74"/>
    <s v="Drip"/>
    <s v="Compost"/>
    <n v="227.18"/>
    <n v="499.79"/>
    <s v="Black"/>
    <n v="25.53"/>
    <s v="2021-11"/>
    <n v="174.04489795918369"/>
    <x v="0"/>
  </r>
  <r>
    <s v="CID150"/>
    <d v="2022-05-17T00:00:00"/>
    <n v="2022"/>
    <x v="5"/>
    <s v="Gaya"/>
    <s v="Zaid"/>
    <x v="2"/>
    <n v="63.3"/>
    <n v="290.01"/>
    <n v="4581.46"/>
    <s v="Rainfed"/>
    <s v="Urea"/>
    <n v="291.77"/>
    <n v="982.9"/>
    <s v="Sandy"/>
    <n v="28.66"/>
    <s v="2022-05"/>
    <n v="72.376935229067939"/>
    <x v="0"/>
  </r>
  <r>
    <s v="CID151"/>
    <d v="2012-05-15T00:00:00"/>
    <n v="2012"/>
    <x v="5"/>
    <s v="Gaya"/>
    <s v="Zaid"/>
    <x v="2"/>
    <n v="72.400000000000006"/>
    <n v="408.89"/>
    <n v="5647.64"/>
    <s v="Drip"/>
    <s v="Urea"/>
    <n v="86.94"/>
    <n v="880.73"/>
    <s v="Black"/>
    <n v="28.59"/>
    <s v="2012-05"/>
    <n v="78.006077348066299"/>
    <x v="0"/>
  </r>
  <r>
    <s v="CID152"/>
    <d v="2017-11-16T00:00:00"/>
    <n v="2017"/>
    <x v="6"/>
    <s v="Gurgaon"/>
    <s v="Rabi"/>
    <x v="3"/>
    <n v="15.99"/>
    <n v="82.24"/>
    <n v="5143"/>
    <s v="Drip"/>
    <s v="DAP"/>
    <n v="175.45"/>
    <n v="811.48"/>
    <s v="Laterite"/>
    <n v="33.090000000000003"/>
    <s v="2017-11"/>
    <n v="321.63852407754848"/>
    <x v="0"/>
  </r>
  <r>
    <s v="CID153"/>
    <d v="2019-01-07T00:00:00"/>
    <n v="2018"/>
    <x v="5"/>
    <s v="Patna"/>
    <s v="Rabi"/>
    <x v="2"/>
    <n v="48.36"/>
    <n v="157.69999999999999"/>
    <n v="3260.95"/>
    <s v="Borewell"/>
    <s v="Vermicompost"/>
    <n v="164.92"/>
    <n v="733.13"/>
    <s v="Sandy"/>
    <n v="25.31"/>
    <s v="2019-01"/>
    <n v="67.430727874276258"/>
    <x v="0"/>
  </r>
  <r>
    <s v="CID154"/>
    <d v="2014-01-29T00:00:00"/>
    <n v="2013"/>
    <x v="3"/>
    <s v="Bangalore"/>
    <s v="Rabi"/>
    <x v="1"/>
    <n v="30.55"/>
    <n v="203.12"/>
    <n v="6648.91"/>
    <s v="Rainfed"/>
    <s v="Vermicompost"/>
    <n v="242.79"/>
    <n v="904.9"/>
    <s v="Laterite"/>
    <n v="24.76"/>
    <s v="2014-01"/>
    <n v="217.64026186579378"/>
    <x v="0"/>
  </r>
  <r>
    <s v="CID155"/>
    <d v="2015-01-13T00:00:00"/>
    <n v="2014"/>
    <x v="4"/>
    <s v="Darjeeling"/>
    <s v="Rabi"/>
    <x v="5"/>
    <n v="57.77"/>
    <n v="246.05"/>
    <n v="4259.1499999999996"/>
    <s v="Drip"/>
    <s v="Urea"/>
    <n v="254.59"/>
    <n v="1154.6099999999999"/>
    <s v="Red"/>
    <n v="24.36"/>
    <s v="2015-01"/>
    <n v="73.725982343777034"/>
    <x v="0"/>
  </r>
  <r>
    <s v="CID156"/>
    <d v="2021-03-31T00:00:00"/>
    <n v="2020"/>
    <x v="2"/>
    <s v="Pune"/>
    <s v="Rabi"/>
    <x v="2"/>
    <n v="48.43"/>
    <n v="107.15"/>
    <n v="2212.41"/>
    <s v="Rainfed"/>
    <s v="DAP"/>
    <n v="283.26"/>
    <n v="896.17"/>
    <s v="Red"/>
    <n v="21.64"/>
    <s v="2021-03"/>
    <n v="45.682634730538922"/>
    <x v="0"/>
  </r>
  <r>
    <s v="CID157"/>
    <d v="2020-05-06T00:00:00"/>
    <n v="2020"/>
    <x v="6"/>
    <s v="Gurgaon"/>
    <s v="Zaid"/>
    <x v="4"/>
    <n v="64.16"/>
    <n v="84.37"/>
    <n v="1314.95"/>
    <s v="Drip"/>
    <s v="DAP"/>
    <n v="132.57"/>
    <n v="672.4"/>
    <s v="Red"/>
    <n v="20.079999999999998"/>
    <s v="2020-05"/>
    <n v="20.494856608478806"/>
    <x v="0"/>
  </r>
  <r>
    <s v="CID158"/>
    <d v="2017-12-30T00:00:00"/>
    <n v="2017"/>
    <x v="3"/>
    <s v="Hubli"/>
    <s v="Rabi"/>
    <x v="2"/>
    <n v="20.75"/>
    <n v="140.76"/>
    <n v="6783.48"/>
    <s v="Rainfed"/>
    <s v="Vermicompost"/>
    <n v="121.35"/>
    <n v="259.16000000000003"/>
    <s v="Black"/>
    <n v="29.78"/>
    <s v="2017-12"/>
    <n v="326.9146987951807"/>
    <x v="0"/>
  </r>
  <r>
    <s v="CID159"/>
    <d v="2010-08-14T00:00:00"/>
    <n v="2010"/>
    <x v="0"/>
    <s v="Varanasi"/>
    <s v="Kharif"/>
    <x v="3"/>
    <n v="88.34"/>
    <n v="181.51"/>
    <n v="2054.73"/>
    <s v="Canal"/>
    <s v="Urea"/>
    <n v="299.29000000000002"/>
    <n v="596.99"/>
    <s v="Laterite"/>
    <n v="22.79"/>
    <s v="2010-08"/>
    <n v="23.259338917817523"/>
    <x v="0"/>
  </r>
  <r>
    <s v="CID160"/>
    <d v="2019-04-09T00:00:00"/>
    <n v="2019"/>
    <x v="1"/>
    <s v="Amritsar"/>
    <s v="Zaid"/>
    <x v="5"/>
    <n v="92.92"/>
    <n v="279.70999999999998"/>
    <n v="3010.25"/>
    <s v="Drip"/>
    <s v="Vermicompost"/>
    <n v="297.27"/>
    <n v="743.3"/>
    <s v="Laterite"/>
    <n v="33.340000000000003"/>
    <s v="2019-04"/>
    <n v="32.396147223417991"/>
    <x v="0"/>
  </r>
  <r>
    <s v="CID161"/>
    <d v="2013-10-24T00:00:00"/>
    <n v="2013"/>
    <x v="3"/>
    <s v="Mysore"/>
    <s v="Kharif"/>
    <x v="0"/>
    <n v="17.09"/>
    <n v="64.150000000000006"/>
    <n v="3753.49"/>
    <s v="Rainfed"/>
    <s v="DAP"/>
    <n v="229.65"/>
    <n v="214.08"/>
    <s v="Alluvial"/>
    <n v="31.86"/>
    <s v="2013-10"/>
    <n v="219.63077823288472"/>
    <x v="0"/>
  </r>
  <r>
    <s v="CID162"/>
    <d v="2020-11-02T00:00:00"/>
    <n v="2020"/>
    <x v="6"/>
    <s v="Hisar"/>
    <s v="Rabi"/>
    <x v="3"/>
    <n v="52.01"/>
    <n v="79.08"/>
    <n v="1520.43"/>
    <s v="Canal"/>
    <s v="NPK"/>
    <n v="96.2"/>
    <n v="340.61"/>
    <s v="Alluvial"/>
    <n v="34.04"/>
    <s v="2020-11"/>
    <n v="29.233416650644109"/>
    <x v="0"/>
  </r>
  <r>
    <s v="CID163"/>
    <d v="2017-12-01T00:00:00"/>
    <n v="2017"/>
    <x v="3"/>
    <s v="Bangalore"/>
    <s v="Rabi"/>
    <x v="0"/>
    <n v="30.89"/>
    <n v="164.87"/>
    <n v="5337.3"/>
    <s v="Canal"/>
    <s v="Compost"/>
    <n v="115.39"/>
    <n v="559.54999999999995"/>
    <s v="Red"/>
    <n v="20.93"/>
    <s v="2017-12"/>
    <n v="172.78407251537715"/>
    <x v="0"/>
  </r>
  <r>
    <s v="CID164"/>
    <d v="2016-04-15T00:00:00"/>
    <n v="2016"/>
    <x v="2"/>
    <s v="Nagpur"/>
    <s v="Zaid"/>
    <x v="1"/>
    <n v="92.39"/>
    <n v="584.53"/>
    <n v="6326.81"/>
    <s v="Rainfed"/>
    <s v="DAP"/>
    <n v="222.57"/>
    <n v="838.71"/>
    <s v="Alluvial"/>
    <n v="25.51"/>
    <s v="2016-04"/>
    <n v="68.479380885377211"/>
    <x v="0"/>
  </r>
  <r>
    <s v="CID165"/>
    <d v="2012-11-21T00:00:00"/>
    <n v="2012"/>
    <x v="6"/>
    <s v="Faridabad"/>
    <s v="Rabi"/>
    <x v="2"/>
    <n v="98.89"/>
    <n v="320.58"/>
    <n v="3241.75"/>
    <s v="Drip"/>
    <s v="Vermicompost"/>
    <n v="239.34"/>
    <n v="1001.99"/>
    <s v="Red"/>
    <n v="31.43"/>
    <s v="2012-11"/>
    <n v="32.781373242997269"/>
    <x v="0"/>
  </r>
  <r>
    <s v="CID166"/>
    <d v="2022-02-22T00:00:00"/>
    <n v="2021"/>
    <x v="3"/>
    <s v="Hubli"/>
    <s v="Rabi"/>
    <x v="5"/>
    <n v="91.81"/>
    <n v="153.62"/>
    <n v="1673.25"/>
    <s v="Borewell"/>
    <s v="Urea"/>
    <n v="193.18"/>
    <n v="349.85"/>
    <s v="Alluvial"/>
    <n v="32.82"/>
    <s v="2022-02"/>
    <n v="18.225138873761029"/>
    <x v="0"/>
  </r>
  <r>
    <s v="CID167"/>
    <d v="2021-05-06T00:00:00"/>
    <n v="2021"/>
    <x v="0"/>
    <s v="Lucknow"/>
    <s v="Zaid"/>
    <x v="3"/>
    <n v="10"/>
    <n v="40.619999999999997"/>
    <n v="4062.25"/>
    <s v="Canal"/>
    <s v="Compost"/>
    <n v="163.36000000000001"/>
    <n v="713.25"/>
    <s v="Laterite"/>
    <n v="28.46"/>
    <s v="2021-05"/>
    <n v="406.22500000000002"/>
    <x v="0"/>
  </r>
  <r>
    <s v="CID168"/>
    <d v="2021-10-17T00:00:00"/>
    <n v="2021"/>
    <x v="0"/>
    <s v="Kanpur"/>
    <s v="Kharif"/>
    <x v="3"/>
    <n v="26.19"/>
    <n v="26.66"/>
    <n v="1018.09"/>
    <s v="Borewell"/>
    <s v="Urea"/>
    <n v="194.58"/>
    <n v="245.29"/>
    <s v="Alluvial"/>
    <n v="30.51"/>
    <s v="2021-10"/>
    <n v="38.873234058801067"/>
    <x v="0"/>
  </r>
  <r>
    <s v="CID169"/>
    <d v="2011-02-05T00:00:00"/>
    <n v="2010"/>
    <x v="1"/>
    <s v="Amritsar"/>
    <s v="Rabi"/>
    <x v="3"/>
    <n v="18.82"/>
    <n v="34.11"/>
    <n v="1812.57"/>
    <s v="Drip"/>
    <s v="Compost"/>
    <n v="143.62"/>
    <n v="1091.33"/>
    <s v="Laterite"/>
    <n v="33.04"/>
    <s v="2011-02"/>
    <n v="96.310839532412317"/>
    <x v="0"/>
  </r>
  <r>
    <s v="CID170"/>
    <d v="2020-04-15T00:00:00"/>
    <n v="2020"/>
    <x v="1"/>
    <s v="Patiala"/>
    <s v="Zaid"/>
    <x v="4"/>
    <n v="65.7"/>
    <n v="202.79"/>
    <n v="3086.62"/>
    <s v="Borewell"/>
    <s v="Urea"/>
    <n v="298.20999999999998"/>
    <n v="593.05999999999995"/>
    <s v="Red"/>
    <n v="30.92"/>
    <s v="2020-04"/>
    <n v="46.980517503805174"/>
    <x v="0"/>
  </r>
  <r>
    <s v="CID171"/>
    <d v="2014-12-19T00:00:00"/>
    <n v="2014"/>
    <x v="4"/>
    <s v="Kolkata"/>
    <s v="Rabi"/>
    <x v="2"/>
    <n v="72.19"/>
    <n v="255.9"/>
    <n v="3544.77"/>
    <s v="Drip"/>
    <s v="Urea"/>
    <n v="255.84"/>
    <n v="447.51"/>
    <s v="Alluvial"/>
    <n v="22.33"/>
    <s v="2014-12"/>
    <n v="49.103338412522511"/>
    <x v="0"/>
  </r>
  <r>
    <s v="CID172"/>
    <d v="2016-04-03T00:00:00"/>
    <n v="2016"/>
    <x v="1"/>
    <s v="Patiala"/>
    <s v="Zaid"/>
    <x v="5"/>
    <n v="24.83"/>
    <n v="34.86"/>
    <n v="1403.75"/>
    <s v="Canal"/>
    <s v="Compost"/>
    <n v="161.61000000000001"/>
    <n v="872.02"/>
    <s v="Black"/>
    <n v="23.67"/>
    <s v="2016-04"/>
    <n v="56.534434152235207"/>
    <x v="0"/>
  </r>
  <r>
    <s v="CID173"/>
    <d v="2018-08-22T00:00:00"/>
    <n v="2018"/>
    <x v="3"/>
    <s v="Bangalore"/>
    <s v="Kharif"/>
    <x v="5"/>
    <n v="14.87"/>
    <n v="103.51"/>
    <n v="6960.9"/>
    <s v="Borewell"/>
    <s v="DAP"/>
    <n v="253.95"/>
    <n v="931.52"/>
    <s v="Alluvial"/>
    <n v="28.66"/>
    <s v="2018-08"/>
    <n v="468.1170141223941"/>
    <x v="0"/>
  </r>
  <r>
    <s v="CID174"/>
    <d v="2020-04-23T00:00:00"/>
    <n v="2020"/>
    <x v="2"/>
    <s v="Nagpur"/>
    <s v="Zaid"/>
    <x v="4"/>
    <n v="41.94"/>
    <n v="111.18"/>
    <n v="2650.92"/>
    <s v="Borewell"/>
    <s v="Compost"/>
    <n v="206.5"/>
    <n v="627.20000000000005"/>
    <s v="Laterite"/>
    <n v="20.7"/>
    <s v="2020-04"/>
    <n v="63.207439198855511"/>
    <x v="0"/>
  </r>
  <r>
    <s v="CID175"/>
    <d v="2015-05-16T00:00:00"/>
    <n v="2015"/>
    <x v="4"/>
    <s v="Darjeeling"/>
    <s v="Zaid"/>
    <x v="3"/>
    <n v="41.42"/>
    <n v="115.95"/>
    <n v="2799.33"/>
    <s v="Borewell"/>
    <s v="DAP"/>
    <n v="238.6"/>
    <n v="673.52"/>
    <s v="Red"/>
    <n v="24.51"/>
    <s v="2015-05"/>
    <n v="67.584017382906808"/>
    <x v="0"/>
  </r>
  <r>
    <s v="CID176"/>
    <d v="2010-05-30T00:00:00"/>
    <n v="2010"/>
    <x v="4"/>
    <s v="Howrah"/>
    <s v="Zaid"/>
    <x v="3"/>
    <n v="96.81"/>
    <n v="420.52"/>
    <n v="4343.72"/>
    <s v="Borewell"/>
    <s v="Compost"/>
    <n v="147.1"/>
    <n v="455"/>
    <s v="Alluvial"/>
    <n v="29.7"/>
    <s v="2010-05"/>
    <n v="44.868505319698379"/>
    <x v="0"/>
  </r>
  <r>
    <s v="CID177"/>
    <d v="2011-05-19T00:00:00"/>
    <n v="2011"/>
    <x v="4"/>
    <s v="Howrah"/>
    <s v="Zaid"/>
    <x v="2"/>
    <n v="83.11"/>
    <n v="108.81"/>
    <n v="1309.22"/>
    <s v="Drip"/>
    <s v="Vermicompost"/>
    <n v="218.42"/>
    <n v="802.92"/>
    <s v="Black"/>
    <n v="22.82"/>
    <s v="2011-05"/>
    <n v="15.752857658524848"/>
    <x v="0"/>
  </r>
  <r>
    <s v="CID178"/>
    <d v="2018-07-01T00:00:00"/>
    <n v="2018"/>
    <x v="0"/>
    <s v="Varanasi"/>
    <s v="Kharif"/>
    <x v="3"/>
    <n v="21.68"/>
    <n v="139.66999999999999"/>
    <n v="6442.2"/>
    <s v="Rainfed"/>
    <s v="Compost"/>
    <n v="289.25"/>
    <n v="215.33"/>
    <s v="Red"/>
    <n v="34.43"/>
    <s v="2018-07"/>
    <n v="297.14944649446494"/>
    <x v="0"/>
  </r>
  <r>
    <s v="CID179"/>
    <d v="2019-04-20T00:00:00"/>
    <n v="2019"/>
    <x v="6"/>
    <s v="Hisar"/>
    <s v="Zaid"/>
    <x v="4"/>
    <n v="40.270000000000003"/>
    <n v="98.1"/>
    <n v="2435.9899999999998"/>
    <s v="Rainfed"/>
    <s v="NPK"/>
    <n v="243.88"/>
    <n v="580.66"/>
    <s v="Sandy"/>
    <n v="29.73"/>
    <s v="2019-04"/>
    <n v="60.491432828408236"/>
    <x v="0"/>
  </r>
  <r>
    <s v="CID180"/>
    <d v="2017-12-27T00:00:00"/>
    <n v="2017"/>
    <x v="2"/>
    <s v="Mumbai"/>
    <s v="Rabi"/>
    <x v="5"/>
    <n v="80.48"/>
    <n v="429.32"/>
    <n v="5334.48"/>
    <s v="Rainfed"/>
    <s v="DAP"/>
    <n v="278.58"/>
    <n v="570.70000000000005"/>
    <s v="Laterite"/>
    <n v="20.69"/>
    <s v="2017-12"/>
    <n v="66.283300198807154"/>
    <x v="0"/>
  </r>
  <r>
    <s v="CID181"/>
    <d v="2018-05-12T00:00:00"/>
    <n v="2018"/>
    <x v="1"/>
    <s v="Amritsar"/>
    <s v="Zaid"/>
    <x v="1"/>
    <n v="72.28"/>
    <n v="200.3"/>
    <n v="2771.15"/>
    <s v="Borewell"/>
    <s v="NPK"/>
    <n v="132.47"/>
    <n v="579.84"/>
    <s v="Red"/>
    <n v="27.49"/>
    <s v="2018-05"/>
    <n v="38.339097952407307"/>
    <x v="0"/>
  </r>
  <r>
    <s v="CID182"/>
    <d v="2021-05-27T00:00:00"/>
    <n v="2021"/>
    <x v="2"/>
    <s v="Pune"/>
    <s v="Zaid"/>
    <x v="2"/>
    <n v="49.57"/>
    <n v="99.61"/>
    <n v="2009.4"/>
    <s v="Rainfed"/>
    <s v="Vermicompost"/>
    <n v="92.32"/>
    <n v="920.31"/>
    <s v="Laterite"/>
    <n v="22.76"/>
    <s v="2021-05"/>
    <n v="40.536614888037121"/>
    <x v="0"/>
  </r>
  <r>
    <s v="CID183"/>
    <d v="2018-07-09T00:00:00"/>
    <n v="2018"/>
    <x v="0"/>
    <s v="Lucknow"/>
    <s v="Kharif"/>
    <x v="5"/>
    <n v="94.57"/>
    <n v="473.73"/>
    <n v="5009.29"/>
    <s v="Canal"/>
    <s v="Urea"/>
    <n v="153.1"/>
    <n v="1042.54"/>
    <s v="Red"/>
    <n v="21.02"/>
    <s v="2018-07"/>
    <n v="52.969123400655604"/>
    <x v="0"/>
  </r>
  <r>
    <s v="CID184"/>
    <d v="2017-11-04T00:00:00"/>
    <n v="2017"/>
    <x v="6"/>
    <s v="Hisar"/>
    <s v="Rabi"/>
    <x v="5"/>
    <n v="62.17"/>
    <n v="310.88"/>
    <n v="5000.53"/>
    <s v="Drip"/>
    <s v="Urea"/>
    <n v="214.82"/>
    <n v="215.73"/>
    <s v="Sandy"/>
    <n v="28.27"/>
    <s v="2017-11"/>
    <n v="80.433167122406303"/>
    <x v="0"/>
  </r>
  <r>
    <s v="CID185"/>
    <d v="2014-05-04T00:00:00"/>
    <n v="2014"/>
    <x v="5"/>
    <s v="Bhagalpur"/>
    <s v="Zaid"/>
    <x v="0"/>
    <n v="2.7"/>
    <n v="15.87"/>
    <n v="5878.94"/>
    <s v="Drip"/>
    <s v="DAP"/>
    <n v="251.54"/>
    <n v="1109.77"/>
    <s v="Black"/>
    <n v="33.770000000000003"/>
    <s v="2014-05"/>
    <n v="2177.385185185185"/>
    <x v="0"/>
  </r>
  <r>
    <s v="CID186"/>
    <d v="2019-05-15T00:00:00"/>
    <n v="2019"/>
    <x v="6"/>
    <s v="Gurgaon"/>
    <s v="Zaid"/>
    <x v="0"/>
    <n v="81.709999999999994"/>
    <n v="212.77"/>
    <n v="2603.9499999999998"/>
    <s v="Drip"/>
    <s v="DAP"/>
    <n v="69.75"/>
    <n v="1159.3"/>
    <s v="Laterite"/>
    <n v="28.48"/>
    <s v="2019-05"/>
    <n v="31.868192387712643"/>
    <x v="0"/>
  </r>
  <r>
    <s v="CID187"/>
    <d v="2011-04-06T00:00:00"/>
    <n v="2011"/>
    <x v="2"/>
    <s v="Mumbai"/>
    <s v="Zaid"/>
    <x v="2"/>
    <n v="76.2"/>
    <n v="118.95"/>
    <n v="1561"/>
    <s v="Drip"/>
    <s v="Compost"/>
    <n v="144.29"/>
    <n v="676.01"/>
    <s v="Black"/>
    <n v="30.54"/>
    <s v="2011-04"/>
    <n v="20.485564304461942"/>
    <x v="0"/>
  </r>
  <r>
    <s v="CID188"/>
    <d v="2020-11-12T00:00:00"/>
    <n v="2020"/>
    <x v="4"/>
    <s v="Howrah"/>
    <s v="Rabi"/>
    <x v="1"/>
    <n v="97.76"/>
    <n v="668.98"/>
    <n v="6843.04"/>
    <s v="Canal"/>
    <s v="Urea"/>
    <n v="107.44"/>
    <n v="1101.27"/>
    <s v="Sandy"/>
    <n v="27.13"/>
    <s v="2020-11"/>
    <n v="69.998363338788863"/>
    <x v="0"/>
  </r>
  <r>
    <s v="CID189"/>
    <d v="2018-05-16T00:00:00"/>
    <n v="2018"/>
    <x v="0"/>
    <s v="Kanpur"/>
    <s v="Zaid"/>
    <x v="2"/>
    <n v="4.26"/>
    <n v="28"/>
    <n v="6572.6"/>
    <s v="Rainfed"/>
    <s v="Compost"/>
    <n v="53.91"/>
    <n v="407.16"/>
    <s v="Red"/>
    <n v="31.28"/>
    <s v="2018-05"/>
    <n v="1542.8638497652585"/>
    <x v="0"/>
  </r>
  <r>
    <s v="CID190"/>
    <d v="2012-04-23T00:00:00"/>
    <n v="2012"/>
    <x v="1"/>
    <s v="Amritsar"/>
    <s v="Zaid"/>
    <x v="4"/>
    <n v="57.1"/>
    <n v="348.12"/>
    <n v="6096.65"/>
    <s v="Rainfed"/>
    <s v="Urea"/>
    <n v="145.96"/>
    <n v="939.75"/>
    <s v="Black"/>
    <n v="27.51"/>
    <s v="2012-04"/>
    <n v="106.77145359019264"/>
    <x v="0"/>
  </r>
  <r>
    <s v="CID191"/>
    <d v="2013-09-24T00:00:00"/>
    <n v="2013"/>
    <x v="1"/>
    <s v="Amritsar"/>
    <s v="Kharif"/>
    <x v="0"/>
    <n v="60.91"/>
    <n v="285.25"/>
    <n v="4683.1899999999996"/>
    <s v="Drip"/>
    <s v="Compost"/>
    <n v="292.23"/>
    <n v="526.38"/>
    <s v="Alluvial"/>
    <n v="31.75"/>
    <s v="2013-09"/>
    <n v="76.887046461993108"/>
    <x v="0"/>
  </r>
  <r>
    <s v="CID192"/>
    <d v="2018-11-22T00:00:00"/>
    <n v="2018"/>
    <x v="6"/>
    <s v="Faridabad"/>
    <s v="Rabi"/>
    <x v="3"/>
    <n v="19.39"/>
    <n v="87.55"/>
    <n v="4515.25"/>
    <s v="Drip"/>
    <s v="NPK"/>
    <n v="71.42"/>
    <n v="818.62"/>
    <s v="Red"/>
    <n v="30.7"/>
    <s v="2018-11"/>
    <n v="232.86487880350697"/>
    <x v="0"/>
  </r>
  <r>
    <s v="CID193"/>
    <d v="2021-04-18T00:00:00"/>
    <n v="2021"/>
    <x v="6"/>
    <s v="Faridabad"/>
    <s v="Zaid"/>
    <x v="4"/>
    <n v="74.23"/>
    <n v="215.27"/>
    <n v="2900.07"/>
    <s v="Canal"/>
    <s v="Urea"/>
    <n v="72.88"/>
    <n v="1142.96"/>
    <s v="Laterite"/>
    <n v="25.4"/>
    <s v="2021-04"/>
    <n v="39.068705375185232"/>
    <x v="0"/>
  </r>
  <r>
    <s v="CID194"/>
    <d v="2013-01-23T00:00:00"/>
    <n v="2012"/>
    <x v="6"/>
    <s v="Gurgaon"/>
    <s v="Rabi"/>
    <x v="3"/>
    <n v="56.14"/>
    <n v="228.75"/>
    <n v="4074.65"/>
    <s v="Canal"/>
    <s v="Compost"/>
    <n v="56.57"/>
    <n v="553.91"/>
    <s v="Black"/>
    <n v="28.95"/>
    <s v="2013-01"/>
    <n v="72.580156750979697"/>
    <x v="0"/>
  </r>
  <r>
    <s v="CID195"/>
    <d v="2017-01-08T00:00:00"/>
    <n v="2016"/>
    <x v="1"/>
    <s v="Amritsar"/>
    <s v="Rabi"/>
    <x v="5"/>
    <n v="72.760000000000005"/>
    <n v="317.02999999999997"/>
    <n v="4357.22"/>
    <s v="Borewell"/>
    <s v="NPK"/>
    <n v="192.99"/>
    <n v="369.58"/>
    <s v="Laterite"/>
    <n v="22.54"/>
    <s v="2017-01"/>
    <n v="59.884826827927434"/>
    <x v="0"/>
  </r>
  <r>
    <s v="CID196"/>
    <d v="2012-10-05T00:00:00"/>
    <n v="2012"/>
    <x v="2"/>
    <s v="Pune"/>
    <s v="Kharif"/>
    <x v="4"/>
    <n v="44.03"/>
    <n v="155.28"/>
    <n v="3526.61"/>
    <s v="Drip"/>
    <s v="Vermicompost"/>
    <n v="245.67"/>
    <n v="561.12"/>
    <s v="Red"/>
    <n v="30.81"/>
    <s v="2012-10"/>
    <n v="80.095616625028384"/>
    <x v="0"/>
  </r>
  <r>
    <s v="CID197"/>
    <d v="2017-09-19T00:00:00"/>
    <n v="2017"/>
    <x v="5"/>
    <s v="Patna"/>
    <s v="Kharif"/>
    <x v="4"/>
    <n v="31.16"/>
    <n v="208.55"/>
    <n v="6692.94"/>
    <s v="Rainfed"/>
    <s v="Vermicompost"/>
    <n v="260.39999999999998"/>
    <n v="579.89"/>
    <s v="Alluvial"/>
    <n v="26.6"/>
    <s v="2017-09"/>
    <n v="214.79268292682926"/>
    <x v="0"/>
  </r>
  <r>
    <s v="CID198"/>
    <d v="2015-05-21T00:00:00"/>
    <n v="2015"/>
    <x v="6"/>
    <s v="Faridabad"/>
    <s v="Zaid"/>
    <x v="2"/>
    <n v="20.88"/>
    <n v="60.24"/>
    <n v="2885.1"/>
    <s v="Drip"/>
    <s v="DAP"/>
    <n v="292.18"/>
    <n v="491.45"/>
    <s v="Laterite"/>
    <n v="34.520000000000003"/>
    <s v="2015-05"/>
    <n v="138.17528735632183"/>
    <x v="0"/>
  </r>
  <r>
    <s v="CID199"/>
    <d v="2014-12-24T00:00:00"/>
    <n v="2014"/>
    <x v="2"/>
    <s v="Pune"/>
    <s v="Rabi"/>
    <x v="0"/>
    <n v="12.27"/>
    <n v="53.78"/>
    <n v="4383.1000000000004"/>
    <s v="Borewell"/>
    <s v="Compost"/>
    <n v="220.43"/>
    <n v="750.1"/>
    <s v="Laterite"/>
    <n v="34.14"/>
    <s v="2014-12"/>
    <n v="357.22086389568057"/>
    <x v="0"/>
  </r>
  <r>
    <s v="CID200"/>
    <d v="2021-06-19T00:00:00"/>
    <n v="2021"/>
    <x v="4"/>
    <s v="Howrah"/>
    <s v="Kharif"/>
    <x v="3"/>
    <n v="67.62"/>
    <n v="124.09"/>
    <n v="1835.07"/>
    <s v="Rainfed"/>
    <s v="Compost"/>
    <n v="110.51"/>
    <n v="858.66"/>
    <s v="Laterite"/>
    <n v="31.84"/>
    <s v="2021-06"/>
    <n v="27.137976929902393"/>
    <x v="0"/>
  </r>
  <r>
    <s v="CID201"/>
    <d v="2020-03-17T00:00:00"/>
    <n v="2019"/>
    <x v="5"/>
    <s v="Gaya"/>
    <s v="Rabi"/>
    <x v="1"/>
    <n v="51.15"/>
    <n v="333.62"/>
    <n v="6522.35"/>
    <s v="Drip"/>
    <s v="Vermicompost"/>
    <n v="185.91"/>
    <n v="990.72"/>
    <s v="Alluvial"/>
    <n v="30.52"/>
    <s v="2020-03"/>
    <n v="127.51417399804498"/>
    <x v="0"/>
  </r>
  <r>
    <s v="CID202"/>
    <d v="2011-08-24T00:00:00"/>
    <n v="2011"/>
    <x v="0"/>
    <s v="Lucknow"/>
    <s v="Kharif"/>
    <x v="2"/>
    <n v="66.8"/>
    <n v="133.47"/>
    <n v="1998.03"/>
    <s v="Canal"/>
    <s v="Compost"/>
    <n v="190.81"/>
    <n v="845.03"/>
    <s v="Laterite"/>
    <n v="34.5"/>
    <s v="2011-08"/>
    <n v="29.91062874251497"/>
    <x v="0"/>
  </r>
  <r>
    <s v="CID203"/>
    <d v="2011-12-09T00:00:00"/>
    <n v="2011"/>
    <x v="1"/>
    <s v="Ludhiana"/>
    <s v="Rabi"/>
    <x v="4"/>
    <n v="51.56"/>
    <n v="212.06"/>
    <n v="4112.79"/>
    <s v="Borewell"/>
    <s v="NPK"/>
    <n v="161.44"/>
    <n v="591.13"/>
    <s v="Sandy"/>
    <n v="30.36"/>
    <s v="2011-12"/>
    <n v="79.767067494181532"/>
    <x v="0"/>
  </r>
  <r>
    <s v="CID204"/>
    <d v="2012-01-29T00:00:00"/>
    <n v="2011"/>
    <x v="1"/>
    <s v="Amritsar"/>
    <s v="Rabi"/>
    <x v="3"/>
    <n v="92.13"/>
    <n v="139.59"/>
    <n v="1515.13"/>
    <s v="Borewell"/>
    <s v="Compost"/>
    <n v="137.08000000000001"/>
    <n v="543.07000000000005"/>
    <s v="Red"/>
    <n v="27.82"/>
    <s v="2012-01"/>
    <n v="16.445566047975689"/>
    <x v="0"/>
  </r>
  <r>
    <s v="CID205"/>
    <d v="2021-04-11T00:00:00"/>
    <n v="2021"/>
    <x v="1"/>
    <s v="Amritsar"/>
    <s v="Zaid"/>
    <x v="3"/>
    <n v="32.57"/>
    <n v="91.25"/>
    <n v="2801.58"/>
    <s v="Canal"/>
    <s v="DAP"/>
    <n v="55.65"/>
    <n v="543.08000000000004"/>
    <s v="Black"/>
    <n v="30.16"/>
    <s v="2021-04"/>
    <n v="86.017193736567393"/>
    <x v="0"/>
  </r>
  <r>
    <s v="CID206"/>
    <d v="2018-09-19T00:00:00"/>
    <n v="2018"/>
    <x v="5"/>
    <s v="Patna"/>
    <s v="Kharif"/>
    <x v="0"/>
    <n v="56.43"/>
    <n v="380.95"/>
    <n v="6750.78"/>
    <s v="Borewell"/>
    <s v="Compost"/>
    <n v="249.44"/>
    <n v="829.76"/>
    <s v="Red"/>
    <n v="29.61"/>
    <s v="2018-09"/>
    <n v="119.63104731525783"/>
    <x v="0"/>
  </r>
  <r>
    <s v="CID207"/>
    <d v="2019-10-16T00:00:00"/>
    <n v="2019"/>
    <x v="1"/>
    <s v="Patiala"/>
    <s v="Kharif"/>
    <x v="3"/>
    <n v="59.63"/>
    <n v="198.75"/>
    <n v="3333.01"/>
    <s v="Borewell"/>
    <s v="DAP"/>
    <n v="101.45"/>
    <n v="952.33"/>
    <s v="Black"/>
    <n v="28.66"/>
    <s v="2019-10"/>
    <n v="55.894851584772766"/>
    <x v="0"/>
  </r>
  <r>
    <s v="CID208"/>
    <d v="2014-01-30T00:00:00"/>
    <n v="2013"/>
    <x v="2"/>
    <s v="Pune"/>
    <s v="Rabi"/>
    <x v="5"/>
    <n v="26.97"/>
    <n v="166.56"/>
    <n v="6175.82"/>
    <s v="Rainfed"/>
    <s v="Compost"/>
    <n v="199.24"/>
    <n v="811.31"/>
    <s v="Sandy"/>
    <n v="21.71"/>
    <s v="2014-01"/>
    <n v="228.98850574712642"/>
    <x v="0"/>
  </r>
  <r>
    <s v="CID209"/>
    <d v="2020-05-15T00:00:00"/>
    <n v="2020"/>
    <x v="5"/>
    <s v="Patna"/>
    <s v="Zaid"/>
    <x v="0"/>
    <n v="91.95"/>
    <n v="417.55"/>
    <n v="4541.01"/>
    <s v="Borewell"/>
    <s v="DAP"/>
    <n v="128.30000000000001"/>
    <n v="438.57"/>
    <s v="Black"/>
    <n v="22.75"/>
    <s v="2020-05"/>
    <n v="49.385644371941275"/>
    <x v="0"/>
  </r>
  <r>
    <s v="CID210"/>
    <d v="2016-05-02T00:00:00"/>
    <n v="2016"/>
    <x v="5"/>
    <s v="Gaya"/>
    <s v="Zaid"/>
    <x v="4"/>
    <n v="57.91"/>
    <n v="204.9"/>
    <n v="3538.23"/>
    <s v="Drip"/>
    <s v="NPK"/>
    <n v="208.88"/>
    <n v="893.43"/>
    <s v="Red"/>
    <n v="28.32"/>
    <s v="2016-05"/>
    <n v="61.098773959592478"/>
    <x v="0"/>
  </r>
  <r>
    <s v="CID211"/>
    <d v="2016-03-09T00:00:00"/>
    <n v="2015"/>
    <x v="6"/>
    <s v="Gurgaon"/>
    <s v="Rabi"/>
    <x v="1"/>
    <n v="6.31"/>
    <n v="19.899999999999999"/>
    <n v="3154.24"/>
    <s v="Canal"/>
    <s v="Compost"/>
    <n v="171.15"/>
    <n v="395.13"/>
    <s v="Laterite"/>
    <n v="34.46"/>
    <s v="2016-03"/>
    <n v="499.87955625990492"/>
    <x v="0"/>
  </r>
  <r>
    <s v="CID212"/>
    <d v="2018-01-10T00:00:00"/>
    <n v="2017"/>
    <x v="3"/>
    <s v="Hubli"/>
    <s v="Rabi"/>
    <x v="2"/>
    <n v="84.15"/>
    <n v="330.89"/>
    <n v="3932.2"/>
    <s v="Canal"/>
    <s v="DAP"/>
    <n v="191.35"/>
    <n v="995.88"/>
    <s v="Red"/>
    <n v="24.38"/>
    <s v="2018-01"/>
    <n v="46.728461081402251"/>
    <x v="0"/>
  </r>
  <r>
    <s v="CID213"/>
    <d v="2013-02-02T00:00:00"/>
    <n v="2012"/>
    <x v="5"/>
    <s v="Gaya"/>
    <s v="Rabi"/>
    <x v="1"/>
    <n v="74.510000000000005"/>
    <n v="416.92"/>
    <n v="5595.52"/>
    <s v="Canal"/>
    <s v="Vermicompost"/>
    <n v="193.18"/>
    <n v="467.89"/>
    <s v="Sandy"/>
    <n v="32.35"/>
    <s v="2013-02"/>
    <n v="75.097570795866332"/>
    <x v="0"/>
  </r>
  <r>
    <s v="CID214"/>
    <d v="2022-04-03T00:00:00"/>
    <n v="2022"/>
    <x v="4"/>
    <s v="Kolkata"/>
    <s v="Zaid"/>
    <x v="3"/>
    <n v="55.09"/>
    <n v="382.25"/>
    <n v="6938.65"/>
    <s v="Canal"/>
    <s v="Compost"/>
    <n v="234"/>
    <n v="853.67"/>
    <s v="Red"/>
    <n v="24.47"/>
    <s v="2022-04"/>
    <n v="125.95117081139951"/>
    <x v="0"/>
  </r>
  <r>
    <s v="CID215"/>
    <d v="2011-12-06T00:00:00"/>
    <n v="2011"/>
    <x v="2"/>
    <s v="Pune"/>
    <s v="Rabi"/>
    <x v="5"/>
    <n v="77.790000000000006"/>
    <n v="188.38"/>
    <n v="2421.6799999999998"/>
    <s v="Rainfed"/>
    <s v="DAP"/>
    <n v="265.26"/>
    <n v="810.26"/>
    <s v="Laterite"/>
    <n v="22.49"/>
    <s v="2011-12"/>
    <n v="31.130993700989841"/>
    <x v="0"/>
  </r>
  <r>
    <s v="CID216"/>
    <d v="2022-10-10T00:00:00"/>
    <n v="2022"/>
    <x v="4"/>
    <s v="Kolkata"/>
    <s v="Kharif"/>
    <x v="1"/>
    <n v="35.729999999999997"/>
    <n v="95.99"/>
    <n v="2686.51"/>
    <s v="Borewell"/>
    <s v="Urea"/>
    <n v="130.91"/>
    <n v="904.05"/>
    <s v="Alluvial"/>
    <n v="28.59"/>
    <s v="2022-10"/>
    <n v="75.189196753428504"/>
    <x v="0"/>
  </r>
  <r>
    <s v="CID217"/>
    <d v="2011-02-09T00:00:00"/>
    <n v="2010"/>
    <x v="6"/>
    <s v="Faridabad"/>
    <s v="Rabi"/>
    <x v="2"/>
    <n v="13.56"/>
    <n v="84.02"/>
    <n v="6196.47"/>
    <s v="Borewell"/>
    <s v="Compost"/>
    <n v="86.56"/>
    <n v="522.1"/>
    <s v="Red"/>
    <n v="31.42"/>
    <s v="2011-02"/>
    <n v="456.96681415929203"/>
    <x v="0"/>
  </r>
  <r>
    <s v="CID218"/>
    <d v="2021-03-05T00:00:00"/>
    <n v="2020"/>
    <x v="6"/>
    <s v="Hisar"/>
    <s v="Rabi"/>
    <x v="2"/>
    <n v="42.01"/>
    <n v="155.94"/>
    <n v="3711.95"/>
    <s v="Canal"/>
    <s v="NPK"/>
    <n v="150.71"/>
    <n v="949.8"/>
    <s v="Alluvial"/>
    <n v="26.82"/>
    <s v="2021-03"/>
    <n v="88.358724113306351"/>
    <x v="0"/>
  </r>
  <r>
    <s v="CID219"/>
    <d v="2022-04-28T00:00:00"/>
    <n v="2022"/>
    <x v="5"/>
    <s v="Patna"/>
    <s v="Zaid"/>
    <x v="5"/>
    <n v="73.36"/>
    <n v="275.14999999999998"/>
    <n v="3750.7"/>
    <s v="Rainfed"/>
    <s v="DAP"/>
    <n v="262.52999999999997"/>
    <n v="995.68"/>
    <s v="Laterite"/>
    <n v="23.27"/>
    <s v="2022-04"/>
    <n v="51.1273173391494"/>
    <x v="0"/>
  </r>
  <r>
    <s v="CID220"/>
    <d v="2016-02-26T00:00:00"/>
    <n v="2015"/>
    <x v="3"/>
    <s v="Mysore"/>
    <s v="Rabi"/>
    <x v="0"/>
    <n v="55.18"/>
    <n v="98.42"/>
    <n v="1783.57"/>
    <s v="Drip"/>
    <s v="Urea"/>
    <n v="247.08"/>
    <n v="1094.1500000000001"/>
    <s v="Black"/>
    <n v="20.69"/>
    <s v="2016-02"/>
    <n v="32.322761870242843"/>
    <x v="0"/>
  </r>
  <r>
    <s v="CID221"/>
    <d v="2018-02-01T00:00:00"/>
    <n v="2017"/>
    <x v="1"/>
    <s v="Ludhiana"/>
    <s v="Rabi"/>
    <x v="5"/>
    <n v="99.19"/>
    <n v="353.79"/>
    <n v="3566.8"/>
    <s v="Borewell"/>
    <s v="NPK"/>
    <n v="270.54000000000002"/>
    <n v="501.87"/>
    <s v="Alluvial"/>
    <n v="21.4"/>
    <s v="2018-02"/>
    <n v="35.959270087710458"/>
    <x v="0"/>
  </r>
  <r>
    <s v="CID222"/>
    <d v="2020-05-01T00:00:00"/>
    <n v="2020"/>
    <x v="1"/>
    <s v="Amritsar"/>
    <s v="Zaid"/>
    <x v="4"/>
    <n v="6.13"/>
    <n v="29.14"/>
    <n v="4753.63"/>
    <s v="Borewell"/>
    <s v="Urea"/>
    <n v="157.31"/>
    <n v="291.2"/>
    <s v="Black"/>
    <n v="20.02"/>
    <s v="2020-05"/>
    <n v="775.46982055464935"/>
    <x v="0"/>
  </r>
  <r>
    <s v="CID223"/>
    <d v="2013-05-01T00:00:00"/>
    <n v="2013"/>
    <x v="6"/>
    <s v="Hisar"/>
    <s v="Zaid"/>
    <x v="2"/>
    <n v="45.06"/>
    <n v="47.24"/>
    <n v="1048.3800000000001"/>
    <s v="Rainfed"/>
    <s v="Urea"/>
    <n v="254.28"/>
    <n v="1188.1500000000001"/>
    <s v="Laterite"/>
    <n v="30.41"/>
    <s v="2013-05"/>
    <n v="23.266311584553929"/>
    <x v="0"/>
  </r>
  <r>
    <s v="CID224"/>
    <d v="2011-05-14T00:00:00"/>
    <n v="2011"/>
    <x v="6"/>
    <s v="Faridabad"/>
    <s v="Zaid"/>
    <x v="5"/>
    <n v="11.22"/>
    <n v="35.96"/>
    <n v="3205.37"/>
    <s v="Rainfed"/>
    <s v="DAP"/>
    <n v="84.28"/>
    <n v="973.46"/>
    <s v="Red"/>
    <n v="29.62"/>
    <s v="2011-05"/>
    <n v="285.68360071301242"/>
    <x v="0"/>
  </r>
  <r>
    <s v="CID225"/>
    <d v="2019-09-22T00:00:00"/>
    <n v="2019"/>
    <x v="1"/>
    <s v="Patiala"/>
    <s v="Kharif"/>
    <x v="1"/>
    <n v="65.349999999999994"/>
    <n v="237.91"/>
    <n v="3640.6"/>
    <s v="Borewell"/>
    <s v="DAP"/>
    <n v="207.02"/>
    <n v="351.37"/>
    <s v="Laterite"/>
    <n v="29.24"/>
    <s v="2019-09"/>
    <n v="55.709257842387153"/>
    <x v="0"/>
  </r>
  <r>
    <s v="CID226"/>
    <d v="2012-08-03T00:00:00"/>
    <n v="2012"/>
    <x v="1"/>
    <s v="Ludhiana"/>
    <s v="Kharif"/>
    <x v="1"/>
    <n v="73.27"/>
    <n v="227.81"/>
    <n v="3109.21"/>
    <s v="Drip"/>
    <s v="Vermicompost"/>
    <n v="128.63"/>
    <n v="339.83"/>
    <s v="Alluvial"/>
    <n v="29.67"/>
    <s v="2012-08"/>
    <n v="42.434966562030844"/>
    <x v="0"/>
  </r>
  <r>
    <s v="CID227"/>
    <d v="2021-04-19T00:00:00"/>
    <n v="2021"/>
    <x v="5"/>
    <s v="Bhagalpur"/>
    <s v="Zaid"/>
    <x v="0"/>
    <n v="78.12"/>
    <n v="401.76"/>
    <n v="5142.8599999999997"/>
    <s v="Rainfed"/>
    <s v="Urea"/>
    <n v="101.36"/>
    <n v="806.93"/>
    <s v="Red"/>
    <n v="31.22"/>
    <s v="2021-04"/>
    <n v="65.832821300563225"/>
    <x v="0"/>
  </r>
  <r>
    <s v="CID228"/>
    <d v="2017-12-04T00:00:00"/>
    <n v="2017"/>
    <x v="4"/>
    <s v="Kolkata"/>
    <s v="Rabi"/>
    <x v="5"/>
    <n v="24.87"/>
    <n v="120.08"/>
    <n v="4828.49"/>
    <s v="Canal"/>
    <s v="Compost"/>
    <n v="182.07"/>
    <n v="1177.7"/>
    <s v="Alluvial"/>
    <n v="34.01"/>
    <s v="2017-12"/>
    <n v="194.14917571371129"/>
    <x v="0"/>
  </r>
  <r>
    <s v="CID229"/>
    <d v="2016-11-16T00:00:00"/>
    <n v="2016"/>
    <x v="4"/>
    <s v="Darjeeling"/>
    <s v="Rabi"/>
    <x v="1"/>
    <n v="68.61"/>
    <n v="382.59"/>
    <n v="5576.36"/>
    <s v="Canal"/>
    <s v="Compost"/>
    <n v="54.17"/>
    <n v="267.52999999999997"/>
    <s v="Alluvial"/>
    <n v="23.24"/>
    <s v="2016-11"/>
    <n v="81.276198804838941"/>
    <x v="0"/>
  </r>
  <r>
    <s v="CID230"/>
    <d v="2020-04-06T00:00:00"/>
    <n v="2020"/>
    <x v="5"/>
    <s v="Gaya"/>
    <s v="Zaid"/>
    <x v="1"/>
    <n v="76.94"/>
    <n v="272.48"/>
    <n v="3541.45"/>
    <s v="Drip"/>
    <s v="NPK"/>
    <n v="70.61"/>
    <n v="736.56"/>
    <s v="Sandy"/>
    <n v="22.29"/>
    <s v="2020-04"/>
    <n v="46.028723680790222"/>
    <x v="0"/>
  </r>
  <r>
    <s v="CID231"/>
    <d v="2013-06-23T00:00:00"/>
    <n v="2013"/>
    <x v="1"/>
    <s v="Patiala"/>
    <s v="Kharif"/>
    <x v="1"/>
    <n v="33.35"/>
    <n v="150.69999999999999"/>
    <n v="4518.62"/>
    <s v="Canal"/>
    <s v="Compost"/>
    <n v="127.54"/>
    <n v="637.49"/>
    <s v="Red"/>
    <n v="20.87"/>
    <s v="2013-06"/>
    <n v="135.49085457271363"/>
    <x v="0"/>
  </r>
  <r>
    <s v="CID232"/>
    <d v="2019-05-31T00:00:00"/>
    <n v="2019"/>
    <x v="1"/>
    <s v="Amritsar"/>
    <s v="Zaid"/>
    <x v="5"/>
    <n v="31.62"/>
    <n v="172.33"/>
    <n v="5450.16"/>
    <s v="Borewell"/>
    <s v="NPK"/>
    <n v="79.86"/>
    <n v="907.9"/>
    <s v="Black"/>
    <n v="22.46"/>
    <s v="2019-05"/>
    <n v="172.36432637571156"/>
    <x v="0"/>
  </r>
  <r>
    <s v="CID233"/>
    <d v="2022-04-28T00:00:00"/>
    <n v="2022"/>
    <x v="5"/>
    <s v="Bhagalpur"/>
    <s v="Zaid"/>
    <x v="0"/>
    <n v="17.53"/>
    <n v="30.88"/>
    <n v="1761.58"/>
    <s v="Rainfed"/>
    <s v="NPK"/>
    <n v="233.23"/>
    <n v="318.06"/>
    <s v="Black"/>
    <n v="25.03"/>
    <s v="2022-04"/>
    <n v="100.48944666286366"/>
    <x v="0"/>
  </r>
  <r>
    <s v="CID234"/>
    <d v="2014-04-17T00:00:00"/>
    <n v="2014"/>
    <x v="5"/>
    <s v="Patna"/>
    <s v="Zaid"/>
    <x v="1"/>
    <n v="63.13"/>
    <n v="251.06"/>
    <n v="3976.89"/>
    <s v="Rainfed"/>
    <s v="Urea"/>
    <n v="63.86"/>
    <n v="1059.3599999999999"/>
    <s v="Red"/>
    <n v="25.52"/>
    <s v="2014-04"/>
    <n v="62.99524790115634"/>
    <x v="0"/>
  </r>
  <r>
    <s v="CID235"/>
    <d v="2021-07-16T00:00:00"/>
    <n v="2021"/>
    <x v="5"/>
    <s v="Bhagalpur"/>
    <s v="Kharif"/>
    <x v="4"/>
    <n v="74.34"/>
    <n v="75.489999999999995"/>
    <n v="1015.41"/>
    <s v="Canal"/>
    <s v="Urea"/>
    <n v="111.14"/>
    <n v="671.76"/>
    <s v="Laterite"/>
    <n v="33.799999999999997"/>
    <s v="2021-07"/>
    <n v="13.658999192897497"/>
    <x v="0"/>
  </r>
  <r>
    <s v="CID236"/>
    <d v="2021-05-14T00:00:00"/>
    <n v="2021"/>
    <x v="5"/>
    <s v="Bhagalpur"/>
    <s v="Zaid"/>
    <x v="3"/>
    <n v="23.23"/>
    <n v="57.83"/>
    <n v="2489.58"/>
    <s v="Rainfed"/>
    <s v="Urea"/>
    <n v="117.81"/>
    <n v="277.89"/>
    <s v="Alluvial"/>
    <n v="21.79"/>
    <s v="2021-05"/>
    <n v="107.17089969866551"/>
    <x v="0"/>
  </r>
  <r>
    <s v="CID237"/>
    <d v="2022-05-06T00:00:00"/>
    <n v="2022"/>
    <x v="6"/>
    <s v="Gurgaon"/>
    <s v="Zaid"/>
    <x v="5"/>
    <n v="95.45"/>
    <n v="134.91999999999999"/>
    <n v="1413.56"/>
    <s v="Drip"/>
    <s v="Compost"/>
    <n v="266.51"/>
    <n v="973.53"/>
    <s v="Alluvial"/>
    <n v="24.91"/>
    <s v="2022-05"/>
    <n v="14.809429020429544"/>
    <x v="0"/>
  </r>
  <r>
    <s v="CID238"/>
    <d v="2013-12-21T00:00:00"/>
    <n v="2013"/>
    <x v="1"/>
    <s v="Amritsar"/>
    <s v="Rabi"/>
    <x v="1"/>
    <n v="78.67"/>
    <n v="427.76"/>
    <n v="5437.46"/>
    <s v="Borewell"/>
    <s v="Vermicompost"/>
    <n v="165.98"/>
    <n v="791.69"/>
    <s v="Laterite"/>
    <n v="34.97"/>
    <s v="2013-12"/>
    <n v="69.117325537053517"/>
    <x v="0"/>
  </r>
  <r>
    <s v="CID239"/>
    <d v="2012-08-18T00:00:00"/>
    <n v="2012"/>
    <x v="4"/>
    <s v="Kolkata"/>
    <s v="Kharif"/>
    <x v="3"/>
    <n v="3.37"/>
    <n v="14.32"/>
    <n v="4249.2700000000004"/>
    <s v="Canal"/>
    <s v="Urea"/>
    <n v="287.75"/>
    <n v="201.46"/>
    <s v="Laterite"/>
    <n v="32.74"/>
    <s v="2012-08"/>
    <n v="1260.9109792284867"/>
    <x v="0"/>
  </r>
  <r>
    <s v="CID240"/>
    <d v="2014-03-14T00:00:00"/>
    <n v="2013"/>
    <x v="6"/>
    <s v="Hisar"/>
    <s v="Rabi"/>
    <x v="3"/>
    <n v="96.16"/>
    <n v="657.29"/>
    <n v="6835.36"/>
    <s v="Borewell"/>
    <s v="Compost"/>
    <n v="227.91"/>
    <n v="293.02999999999997"/>
    <s v="Red"/>
    <n v="33.46"/>
    <s v="2014-03"/>
    <n v="71.083194675540767"/>
    <x v="0"/>
  </r>
  <r>
    <s v="CID241"/>
    <d v="2017-04-09T00:00:00"/>
    <n v="2017"/>
    <x v="0"/>
    <s v="Kanpur"/>
    <s v="Zaid"/>
    <x v="5"/>
    <n v="58.5"/>
    <n v="235.91"/>
    <n v="4032.57"/>
    <s v="Drip"/>
    <s v="DAP"/>
    <n v="68.709999999999994"/>
    <n v="767.82"/>
    <s v="Laterite"/>
    <n v="29.94"/>
    <s v="2017-04"/>
    <n v="68.932820512820513"/>
    <x v="0"/>
  </r>
  <r>
    <s v="CID242"/>
    <d v="2016-03-29T00:00:00"/>
    <n v="2015"/>
    <x v="2"/>
    <s v="Pune"/>
    <s v="Rabi"/>
    <x v="2"/>
    <n v="83.36"/>
    <n v="246.54"/>
    <n v="2957.51"/>
    <s v="Drip"/>
    <s v="Urea"/>
    <n v="117.99"/>
    <n v="274.69"/>
    <s v="Red"/>
    <n v="22.04"/>
    <s v="2016-03"/>
    <n v="35.47876679462572"/>
    <x v="0"/>
  </r>
  <r>
    <s v="CID243"/>
    <d v="2012-12-01T00:00:00"/>
    <n v="2012"/>
    <x v="6"/>
    <s v="Gurgaon"/>
    <s v="Rabi"/>
    <x v="3"/>
    <n v="32.090000000000003"/>
    <n v="55.34"/>
    <n v="1724.42"/>
    <s v="Rainfed"/>
    <s v="Urea"/>
    <n v="291.16000000000003"/>
    <n v="407.64"/>
    <s v="Alluvial"/>
    <n v="26.95"/>
    <s v="2012-12"/>
    <n v="53.736989716422556"/>
    <x v="0"/>
  </r>
  <r>
    <s v="CID244"/>
    <d v="2014-04-04T00:00:00"/>
    <n v="2014"/>
    <x v="6"/>
    <s v="Hisar"/>
    <s v="Zaid"/>
    <x v="2"/>
    <n v="60.73"/>
    <n v="139.08000000000001"/>
    <n v="2290.12"/>
    <s v="Rainfed"/>
    <s v="NPK"/>
    <n v="87.08"/>
    <n v="911.16"/>
    <s v="Alluvial"/>
    <n v="25.94"/>
    <s v="2014-04"/>
    <n v="37.709863329491192"/>
    <x v="0"/>
  </r>
  <r>
    <s v="CID245"/>
    <d v="2010-11-16T00:00:00"/>
    <n v="2010"/>
    <x v="2"/>
    <s v="Nagpur"/>
    <s v="Rabi"/>
    <x v="3"/>
    <n v="56.04"/>
    <n v="241.01"/>
    <n v="4300.7299999999996"/>
    <s v="Canal"/>
    <s v="DAP"/>
    <n v="165.51"/>
    <n v="1003.9"/>
    <s v="Red"/>
    <n v="21.82"/>
    <s v="2010-11"/>
    <n v="76.743932905067808"/>
    <x v="0"/>
  </r>
  <r>
    <s v="CID246"/>
    <d v="2017-02-22T00:00:00"/>
    <n v="2016"/>
    <x v="6"/>
    <s v="Gurgaon"/>
    <s v="Rabi"/>
    <x v="2"/>
    <n v="63.4"/>
    <n v="308.64"/>
    <n v="4868.1099999999997"/>
    <s v="Rainfed"/>
    <s v="DAP"/>
    <n v="279.36"/>
    <n v="274.99"/>
    <s v="Black"/>
    <n v="22.97"/>
    <s v="2017-02"/>
    <n v="76.784069400630912"/>
    <x v="0"/>
  </r>
  <r>
    <s v="CID247"/>
    <d v="2011-09-18T00:00:00"/>
    <n v="2011"/>
    <x v="1"/>
    <s v="Amritsar"/>
    <s v="Kharif"/>
    <x v="3"/>
    <n v="6.01"/>
    <n v="39.33"/>
    <n v="6544.79"/>
    <s v="Drip"/>
    <s v="DAP"/>
    <n v="255.42"/>
    <n v="595"/>
    <s v="Black"/>
    <n v="25.74"/>
    <s v="2011-09"/>
    <n v="1088.9833610648918"/>
    <x v="0"/>
  </r>
  <r>
    <s v="CID248"/>
    <d v="2012-11-23T00:00:00"/>
    <n v="2012"/>
    <x v="2"/>
    <s v="Nagpur"/>
    <s v="Rabi"/>
    <x v="0"/>
    <n v="45.16"/>
    <n v="85.43"/>
    <n v="1891.79"/>
    <s v="Borewell"/>
    <s v="NPK"/>
    <n v="211.82"/>
    <n v="698.89"/>
    <s v="Sandy"/>
    <n v="27.19"/>
    <s v="2012-11"/>
    <n v="41.890832595217006"/>
    <x v="0"/>
  </r>
  <r>
    <s v="CID249"/>
    <d v="2016-10-03T00:00:00"/>
    <n v="2016"/>
    <x v="3"/>
    <s v="Bangalore"/>
    <s v="Kharif"/>
    <x v="2"/>
    <n v="88.58"/>
    <n v="368.04"/>
    <n v="4154.88"/>
    <s v="Canal"/>
    <s v="NPK"/>
    <n v="297.35000000000002"/>
    <n v="981.92"/>
    <s v="Alluvial"/>
    <n v="27.2"/>
    <s v="2016-10"/>
    <n v="46.905396251975617"/>
    <x v="0"/>
  </r>
  <r>
    <s v="CID250"/>
    <d v="2016-02-29T00:00:00"/>
    <n v="2015"/>
    <x v="5"/>
    <s v="Bhagalpur"/>
    <s v="Rabi"/>
    <x v="0"/>
    <n v="18.8"/>
    <n v="54.77"/>
    <n v="2913.27"/>
    <s v="Borewell"/>
    <s v="Vermicompost"/>
    <n v="57.33"/>
    <n v="1010.69"/>
    <s v="Alluvial"/>
    <n v="20.88"/>
    <s v="2016-02"/>
    <n v="154.96117021276595"/>
    <x v="0"/>
  </r>
  <r>
    <s v="CID251"/>
    <d v="2013-09-08T00:00:00"/>
    <n v="2013"/>
    <x v="2"/>
    <s v="Mumbai"/>
    <s v="Kharif"/>
    <x v="5"/>
    <n v="25.54"/>
    <n v="62.49"/>
    <n v="2446.92"/>
    <s v="Canal"/>
    <s v="NPK"/>
    <n v="241.01"/>
    <n v="1147.8"/>
    <s v="Sandy"/>
    <n v="32.700000000000003"/>
    <s v="2013-09"/>
    <n v="95.807361002349268"/>
    <x v="0"/>
  </r>
  <r>
    <s v="CID252"/>
    <d v="2012-10-23T00:00:00"/>
    <n v="2012"/>
    <x v="4"/>
    <s v="Kolkata"/>
    <s v="Kharif"/>
    <x v="1"/>
    <n v="32.479999999999997"/>
    <n v="176.32"/>
    <n v="5428.63"/>
    <s v="Rainfed"/>
    <s v="DAP"/>
    <n v="278.5"/>
    <n v="228.21"/>
    <s v="Alluvial"/>
    <n v="34.21"/>
    <s v="2012-10"/>
    <n v="167.13762315270938"/>
    <x v="0"/>
  </r>
  <r>
    <s v="CID253"/>
    <d v="2022-11-01T00:00:00"/>
    <n v="2022"/>
    <x v="5"/>
    <s v="Patna"/>
    <s v="Rabi"/>
    <x v="1"/>
    <n v="31.6"/>
    <n v="124.59"/>
    <n v="3942.62"/>
    <s v="Canal"/>
    <s v="NPK"/>
    <n v="64.040000000000006"/>
    <n v="801.66"/>
    <s v="Black"/>
    <n v="27.9"/>
    <s v="2022-11"/>
    <n v="124.76645569620253"/>
    <x v="0"/>
  </r>
  <r>
    <s v="CID254"/>
    <d v="2022-10-13T00:00:00"/>
    <n v="2022"/>
    <x v="5"/>
    <s v="Patna"/>
    <s v="Kharif"/>
    <x v="0"/>
    <n v="71.98"/>
    <n v="468.78"/>
    <n v="6512.68"/>
    <s v="Rainfed"/>
    <s v="NPK"/>
    <n v="64.89"/>
    <n v="347.71"/>
    <s v="Red"/>
    <n v="31.62"/>
    <s v="2022-10"/>
    <n v="90.479021950541821"/>
    <x v="0"/>
  </r>
  <r>
    <s v="CID255"/>
    <d v="2021-05-02T00:00:00"/>
    <n v="2021"/>
    <x v="1"/>
    <s v="Amritsar"/>
    <s v="Zaid"/>
    <x v="3"/>
    <n v="59.02"/>
    <n v="178.2"/>
    <n v="3019.37"/>
    <s v="Rainfed"/>
    <s v="NPK"/>
    <n v="84.11"/>
    <n v="357.5"/>
    <s v="Laterite"/>
    <n v="31.88"/>
    <s v="2021-05"/>
    <n v="51.158420874279898"/>
    <x v="0"/>
  </r>
  <r>
    <s v="CID256"/>
    <d v="2018-05-17T00:00:00"/>
    <n v="2018"/>
    <x v="6"/>
    <s v="Hisar"/>
    <s v="Zaid"/>
    <x v="1"/>
    <n v="78.91"/>
    <n v="184.6"/>
    <n v="2339.42"/>
    <s v="Borewell"/>
    <s v="Urea"/>
    <n v="144.6"/>
    <n v="933.99"/>
    <s v="Alluvial"/>
    <n v="21.91"/>
    <s v="2018-05"/>
    <n v="29.64668609808643"/>
    <x v="0"/>
  </r>
  <r>
    <s v="CID257"/>
    <d v="2016-05-18T00:00:00"/>
    <n v="2016"/>
    <x v="0"/>
    <s v="Varanasi"/>
    <s v="Zaid"/>
    <x v="5"/>
    <n v="19.03"/>
    <n v="55.36"/>
    <n v="2909.3"/>
    <s v="Borewell"/>
    <s v="Urea"/>
    <n v="209.91"/>
    <n v="304.11"/>
    <s v="Laterite"/>
    <n v="22.11"/>
    <s v="2016-05"/>
    <n v="152.87966368891225"/>
    <x v="0"/>
  </r>
  <r>
    <s v="CID258"/>
    <d v="2015-08-29T00:00:00"/>
    <n v="2015"/>
    <x v="6"/>
    <s v="Faridabad"/>
    <s v="Kharif"/>
    <x v="2"/>
    <n v="88.65"/>
    <n v="135.84"/>
    <n v="1532.36"/>
    <s v="Rainfed"/>
    <s v="NPK"/>
    <n v="161.66"/>
    <n v="465.21"/>
    <s v="Red"/>
    <n v="30.4"/>
    <s v="2015-08"/>
    <n v="17.285504794134233"/>
    <x v="0"/>
  </r>
  <r>
    <s v="CID259"/>
    <d v="2021-09-05T00:00:00"/>
    <n v="2021"/>
    <x v="4"/>
    <s v="Kolkata"/>
    <s v="Kharif"/>
    <x v="5"/>
    <n v="39.21"/>
    <n v="211.56"/>
    <n v="5395.51"/>
    <s v="Borewell"/>
    <s v="Urea"/>
    <n v="271.14"/>
    <n v="693.08"/>
    <s v="Laterite"/>
    <n v="25.27"/>
    <s v="2021-09"/>
    <n v="137.60545779137976"/>
    <x v="0"/>
  </r>
  <r>
    <s v="CID260"/>
    <d v="2022-04-17T00:00:00"/>
    <n v="2022"/>
    <x v="4"/>
    <s v="Howrah"/>
    <s v="Zaid"/>
    <x v="2"/>
    <n v="76.069999999999993"/>
    <n v="179.03"/>
    <n v="2353.5"/>
    <s v="Drip"/>
    <s v="Urea"/>
    <n v="68.430000000000007"/>
    <n v="1045.76"/>
    <s v="Alluvial"/>
    <n v="20.3"/>
    <s v="2022-04"/>
    <n v="30.938609175759172"/>
    <x v="0"/>
  </r>
  <r>
    <s v="CID261"/>
    <d v="2013-02-19T00:00:00"/>
    <n v="2012"/>
    <x v="1"/>
    <s v="Amritsar"/>
    <s v="Rabi"/>
    <x v="4"/>
    <n v="73.47"/>
    <n v="314.62"/>
    <n v="4282.28"/>
    <s v="Canal"/>
    <s v="DAP"/>
    <n v="134.49"/>
    <n v="1185.28"/>
    <s v="Laterite"/>
    <n v="30.57"/>
    <s v="2013-02"/>
    <n v="58.286103171362456"/>
    <x v="0"/>
  </r>
  <r>
    <s v="CID262"/>
    <d v="2012-08-12T00:00:00"/>
    <n v="2012"/>
    <x v="5"/>
    <s v="Gaya"/>
    <s v="Kharif"/>
    <x v="5"/>
    <n v="33.78"/>
    <n v="231.27"/>
    <n v="6846.39"/>
    <s v="Drip"/>
    <s v="NPK"/>
    <n v="224.3"/>
    <n v="922.04"/>
    <s v="Sandy"/>
    <n v="23.98"/>
    <s v="2012-08"/>
    <n v="202.67584369449378"/>
    <x v="0"/>
  </r>
  <r>
    <s v="CID263"/>
    <d v="2011-03-03T00:00:00"/>
    <n v="2010"/>
    <x v="6"/>
    <s v="Gurgaon"/>
    <s v="Rabi"/>
    <x v="1"/>
    <n v="55.42"/>
    <n v="218.67"/>
    <n v="3945.69"/>
    <s v="Canal"/>
    <s v="DAP"/>
    <n v="140.21"/>
    <n v="627.61"/>
    <s v="Alluvial"/>
    <n v="32.36"/>
    <s v="2011-03"/>
    <n v="71.196138578130643"/>
    <x v="0"/>
  </r>
  <r>
    <s v="CID264"/>
    <d v="2013-08-07T00:00:00"/>
    <n v="2013"/>
    <x v="1"/>
    <s v="Ludhiana"/>
    <s v="Kharif"/>
    <x v="2"/>
    <n v="29.89"/>
    <n v="44.58"/>
    <n v="1491.62"/>
    <s v="Canal"/>
    <s v="Urea"/>
    <n v="127.09"/>
    <n v="597.47"/>
    <s v="Laterite"/>
    <n v="33.42"/>
    <s v="2013-08"/>
    <n v="49.903646704583466"/>
    <x v="0"/>
  </r>
  <r>
    <s v="CID265"/>
    <d v="2016-08-08T00:00:00"/>
    <n v="2016"/>
    <x v="0"/>
    <s v="Varanasi"/>
    <s v="Kharif"/>
    <x v="0"/>
    <n v="88.66"/>
    <n v="285.17"/>
    <n v="3216.41"/>
    <s v="Drip"/>
    <s v="Vermicompost"/>
    <n v="61.15"/>
    <n v="639.74"/>
    <s v="Alluvial"/>
    <n v="23.39"/>
    <s v="2016-08"/>
    <n v="36.27802842318971"/>
    <x v="0"/>
  </r>
  <r>
    <s v="CID266"/>
    <d v="2022-04-25T00:00:00"/>
    <n v="2022"/>
    <x v="1"/>
    <s v="Ludhiana"/>
    <s v="Zaid"/>
    <x v="2"/>
    <n v="10.57"/>
    <n v="52.94"/>
    <n v="5008.8500000000004"/>
    <s v="Drip"/>
    <s v="Vermicompost"/>
    <n v="292.68"/>
    <n v="789.73"/>
    <s v="Sandy"/>
    <n v="20.91"/>
    <s v="2022-04"/>
    <n v="473.8741721854305"/>
    <x v="0"/>
  </r>
  <r>
    <s v="CID267"/>
    <d v="2021-03-13T00:00:00"/>
    <n v="2020"/>
    <x v="3"/>
    <s v="Hubli"/>
    <s v="Rabi"/>
    <x v="1"/>
    <n v="88.28"/>
    <n v="340.55"/>
    <n v="3857.57"/>
    <s v="Canal"/>
    <s v="Vermicompost"/>
    <n v="148.69999999999999"/>
    <n v="1053.94"/>
    <s v="Black"/>
    <n v="27.53"/>
    <s v="2021-03"/>
    <n v="43.696986859990936"/>
    <x v="0"/>
  </r>
  <r>
    <s v="CID268"/>
    <d v="2012-09-20T00:00:00"/>
    <n v="2012"/>
    <x v="0"/>
    <s v="Varanasi"/>
    <s v="Kharif"/>
    <x v="3"/>
    <n v="18.12"/>
    <n v="125.14"/>
    <n v="6906.21"/>
    <s v="Borewell"/>
    <s v="DAP"/>
    <n v="252.12"/>
    <n v="326.19"/>
    <s v="Laterite"/>
    <n v="21.18"/>
    <s v="2012-09"/>
    <n v="381.13741721854302"/>
    <x v="0"/>
  </r>
  <r>
    <s v="CID269"/>
    <d v="2012-04-18T00:00:00"/>
    <n v="2012"/>
    <x v="4"/>
    <s v="Darjeeling"/>
    <s v="Zaid"/>
    <x v="0"/>
    <n v="32.659999999999997"/>
    <n v="175.14"/>
    <n v="5362.62"/>
    <s v="Canal"/>
    <s v="Vermicompost"/>
    <n v="71.760000000000005"/>
    <n v="756.36"/>
    <s v="Sandy"/>
    <n v="24.89"/>
    <s v="2012-04"/>
    <n v="164.19534598897735"/>
    <x v="0"/>
  </r>
  <r>
    <s v="CID270"/>
    <d v="2022-05-31T00:00:00"/>
    <n v="2022"/>
    <x v="3"/>
    <s v="Bangalore"/>
    <s v="Zaid"/>
    <x v="1"/>
    <n v="59.17"/>
    <n v="336.68"/>
    <n v="5690.11"/>
    <s v="Canal"/>
    <s v="Urea"/>
    <n v="153.61000000000001"/>
    <n v="348.2"/>
    <s v="Sandy"/>
    <n v="28.74"/>
    <s v="2022-05"/>
    <n v="96.165455467297605"/>
    <x v="0"/>
  </r>
  <r>
    <s v="CID271"/>
    <d v="2022-06-10T00:00:00"/>
    <n v="2022"/>
    <x v="1"/>
    <s v="Patiala"/>
    <s v="Kharif"/>
    <x v="0"/>
    <n v="86.88"/>
    <n v="545.67999999999995"/>
    <n v="6280.81"/>
    <s v="Drip"/>
    <s v="DAP"/>
    <n v="116.03"/>
    <n v="854.79"/>
    <s v="Sandy"/>
    <n v="29.13"/>
    <s v="2022-06"/>
    <n v="72.292932780847153"/>
    <x v="0"/>
  </r>
  <r>
    <s v="CID272"/>
    <d v="2012-05-01T00:00:00"/>
    <n v="2012"/>
    <x v="2"/>
    <s v="Pune"/>
    <s v="Zaid"/>
    <x v="1"/>
    <n v="68.400000000000006"/>
    <n v="233.27"/>
    <n v="3410.32"/>
    <s v="Drip"/>
    <s v="NPK"/>
    <n v="272.39"/>
    <n v="531.49"/>
    <s v="Red"/>
    <n v="20.74"/>
    <s v="2012-05"/>
    <n v="49.858479532163742"/>
    <x v="0"/>
  </r>
  <r>
    <s v="CID273"/>
    <d v="2016-02-22T00:00:00"/>
    <n v="2015"/>
    <x v="2"/>
    <s v="Nagpur"/>
    <s v="Rabi"/>
    <x v="0"/>
    <n v="28.75"/>
    <n v="113.55"/>
    <n v="3949.72"/>
    <s v="Canal"/>
    <s v="NPK"/>
    <n v="293.12"/>
    <n v="427.96"/>
    <s v="Alluvial"/>
    <n v="34.61"/>
    <s v="2016-02"/>
    <n v="137.38156521739128"/>
    <x v="0"/>
  </r>
  <r>
    <s v="CID274"/>
    <d v="2016-05-03T00:00:00"/>
    <n v="2016"/>
    <x v="2"/>
    <s v="Mumbai"/>
    <s v="Zaid"/>
    <x v="2"/>
    <n v="9.84"/>
    <n v="35.92"/>
    <n v="3650.3"/>
    <s v="Drip"/>
    <s v="DAP"/>
    <n v="235.24"/>
    <n v="959.49"/>
    <s v="Alluvial"/>
    <n v="32.32"/>
    <s v="2016-05"/>
    <n v="370.96544715447158"/>
    <x v="0"/>
  </r>
  <r>
    <s v="CID275"/>
    <d v="2021-04-16T00:00:00"/>
    <n v="2021"/>
    <x v="1"/>
    <s v="Amritsar"/>
    <s v="Zaid"/>
    <x v="3"/>
    <n v="14.43"/>
    <n v="88.14"/>
    <n v="6107.77"/>
    <s v="Canal"/>
    <s v="Urea"/>
    <n v="93.43"/>
    <n v="1075.18"/>
    <s v="Red"/>
    <n v="32.549999999999997"/>
    <s v="2021-04"/>
    <n v="423.26888426888434"/>
    <x v="0"/>
  </r>
  <r>
    <s v="CID276"/>
    <d v="2015-05-02T00:00:00"/>
    <n v="2015"/>
    <x v="3"/>
    <s v="Bangalore"/>
    <s v="Zaid"/>
    <x v="4"/>
    <n v="28.12"/>
    <n v="167.06"/>
    <n v="5941.04"/>
    <s v="Drip"/>
    <s v="Vermicompost"/>
    <n v="208.85"/>
    <n v="323.87"/>
    <s v="Black"/>
    <n v="23.63"/>
    <s v="2015-05"/>
    <n v="211.27453769559031"/>
    <x v="0"/>
  </r>
  <r>
    <s v="CID277"/>
    <d v="2017-04-04T00:00:00"/>
    <n v="2017"/>
    <x v="3"/>
    <s v="Bangalore"/>
    <s v="Zaid"/>
    <x v="1"/>
    <n v="35.630000000000003"/>
    <n v="70.59"/>
    <n v="1981.08"/>
    <s v="Rainfed"/>
    <s v="DAP"/>
    <n v="237.24"/>
    <n v="888.85"/>
    <s v="Alluvial"/>
    <n v="20.41"/>
    <s v="2017-04"/>
    <n v="55.601459444288515"/>
    <x v="0"/>
  </r>
  <r>
    <s v="CID278"/>
    <d v="2022-07-04T00:00:00"/>
    <n v="2022"/>
    <x v="4"/>
    <s v="Darjeeling"/>
    <s v="Kharif"/>
    <x v="4"/>
    <n v="65.09"/>
    <n v="329.76"/>
    <n v="5066.17"/>
    <s v="Rainfed"/>
    <s v="DAP"/>
    <n v="212.9"/>
    <n v="713.28"/>
    <s v="Black"/>
    <n v="27.11"/>
    <s v="2022-07"/>
    <n v="77.833307727761564"/>
    <x v="0"/>
  </r>
  <r>
    <s v="CID279"/>
    <d v="2013-12-26T00:00:00"/>
    <n v="2013"/>
    <x v="5"/>
    <s v="Patna"/>
    <s v="Rabi"/>
    <x v="1"/>
    <n v="80.7"/>
    <n v="228.6"/>
    <n v="2832.76"/>
    <s v="Rainfed"/>
    <s v="Compost"/>
    <n v="155.94999999999999"/>
    <n v="576.48"/>
    <s v="Alluvial"/>
    <n v="26.88"/>
    <s v="2013-12"/>
    <n v="35.102354399008675"/>
    <x v="0"/>
  </r>
  <r>
    <s v="CID280"/>
    <d v="2018-04-07T00:00:00"/>
    <n v="2018"/>
    <x v="2"/>
    <s v="Mumbai"/>
    <s v="Zaid"/>
    <x v="3"/>
    <n v="58.86"/>
    <n v="61.46"/>
    <n v="1044.0899999999999"/>
    <s v="Rainfed"/>
    <s v="Compost"/>
    <n v="190.36"/>
    <n v="793.77"/>
    <s v="Alluvial"/>
    <n v="24.48"/>
    <s v="2018-04"/>
    <n v="17.738532110091743"/>
    <x v="0"/>
  </r>
  <r>
    <s v="CID281"/>
    <d v="2014-05-22T00:00:00"/>
    <n v="2014"/>
    <x v="1"/>
    <s v="Amritsar"/>
    <s v="Zaid"/>
    <x v="0"/>
    <n v="86.29"/>
    <n v="221.5"/>
    <n v="2566.88"/>
    <s v="Rainfed"/>
    <s v="Vermicompost"/>
    <n v="97.09"/>
    <n v="717.29"/>
    <s v="Red"/>
    <n v="33.5"/>
    <s v="2014-05"/>
    <n v="29.747131764978558"/>
    <x v="0"/>
  </r>
  <r>
    <s v="CID282"/>
    <d v="2015-05-08T00:00:00"/>
    <n v="2015"/>
    <x v="3"/>
    <s v="Hubli"/>
    <s v="Zaid"/>
    <x v="4"/>
    <n v="72.41"/>
    <n v="357.16"/>
    <n v="4932.3999999999996"/>
    <s v="Rainfed"/>
    <s v="Vermicompost"/>
    <n v="114.86"/>
    <n v="618.57000000000005"/>
    <s v="Laterite"/>
    <n v="31.05"/>
    <s v="2015-05"/>
    <n v="68.117663306173185"/>
    <x v="0"/>
  </r>
  <r>
    <s v="CID283"/>
    <d v="2015-04-11T00:00:00"/>
    <n v="2015"/>
    <x v="4"/>
    <s v="Kolkata"/>
    <s v="Zaid"/>
    <x v="2"/>
    <n v="23.01"/>
    <n v="96.82"/>
    <n v="4207.8100000000004"/>
    <s v="Drip"/>
    <s v="Vermicompost"/>
    <n v="276.63"/>
    <n v="871.87"/>
    <s v="Sandy"/>
    <n v="24.5"/>
    <s v="2015-04"/>
    <n v="182.86875271621034"/>
    <x v="0"/>
  </r>
  <r>
    <s v="CID284"/>
    <d v="2011-12-28T00:00:00"/>
    <n v="2011"/>
    <x v="6"/>
    <s v="Faridabad"/>
    <s v="Rabi"/>
    <x v="4"/>
    <n v="74.349999999999994"/>
    <n v="397.86"/>
    <n v="5351.12"/>
    <s v="Borewell"/>
    <s v="NPK"/>
    <n v="286.73"/>
    <n v="1099.5899999999999"/>
    <s v="Black"/>
    <n v="23.33"/>
    <s v="2011-12"/>
    <n v="71.972024209818429"/>
    <x v="0"/>
  </r>
  <r>
    <s v="CID285"/>
    <d v="2015-11-19T00:00:00"/>
    <n v="2015"/>
    <x v="3"/>
    <s v="Mysore"/>
    <s v="Rabi"/>
    <x v="1"/>
    <n v="30.11"/>
    <n v="183.89"/>
    <n v="6107.28"/>
    <s v="Drip"/>
    <s v="Compost"/>
    <n v="63.42"/>
    <n v="834.4"/>
    <s v="Sandy"/>
    <n v="34.159999999999997"/>
    <s v="2015-11"/>
    <n v="202.83228163400864"/>
    <x v="0"/>
  </r>
  <r>
    <s v="CID286"/>
    <d v="2011-05-28T00:00:00"/>
    <n v="2011"/>
    <x v="6"/>
    <s v="Hisar"/>
    <s v="Zaid"/>
    <x v="3"/>
    <n v="53.45"/>
    <n v="185.93"/>
    <n v="3478.64"/>
    <s v="Borewell"/>
    <s v="Compost"/>
    <n v="84.34"/>
    <n v="400.3"/>
    <s v="Laterite"/>
    <n v="34.81"/>
    <s v="2011-05"/>
    <n v="65.082132834424684"/>
    <x v="0"/>
  </r>
  <r>
    <s v="CID287"/>
    <d v="2021-07-14T00:00:00"/>
    <n v="2021"/>
    <x v="6"/>
    <s v="Faridabad"/>
    <s v="Kharif"/>
    <x v="5"/>
    <n v="49.27"/>
    <n v="235.82"/>
    <n v="4786.2"/>
    <s v="Borewell"/>
    <s v="Vermicompost"/>
    <n v="128.35"/>
    <n v="258.01"/>
    <s v="Laterite"/>
    <n v="24.1"/>
    <s v="2021-07"/>
    <n v="97.142277247818129"/>
    <x v="0"/>
  </r>
  <r>
    <s v="CID288"/>
    <d v="2017-07-22T00:00:00"/>
    <n v="2017"/>
    <x v="4"/>
    <s v="Kolkata"/>
    <s v="Kharif"/>
    <x v="4"/>
    <n v="61.83"/>
    <n v="296.83999999999997"/>
    <n v="4800.93"/>
    <s v="Drip"/>
    <s v="NPK"/>
    <n v="157.26"/>
    <n v="677.4"/>
    <s v="Black"/>
    <n v="20.57"/>
    <s v="2017-07"/>
    <n v="77.647258612324123"/>
    <x v="0"/>
  </r>
  <r>
    <s v="CID289"/>
    <d v="2022-04-25T00:00:00"/>
    <n v="2022"/>
    <x v="1"/>
    <s v="Amritsar"/>
    <s v="Zaid"/>
    <x v="4"/>
    <n v="2.77"/>
    <n v="2.84"/>
    <n v="1024.74"/>
    <s v="Borewell"/>
    <s v="Vermicompost"/>
    <n v="106.57"/>
    <n v="1076.99"/>
    <s v="Alluvial"/>
    <n v="21.93"/>
    <s v="2022-04"/>
    <n v="369.94223826714801"/>
    <x v="0"/>
  </r>
  <r>
    <s v="CID290"/>
    <d v="2012-10-04T00:00:00"/>
    <n v="2012"/>
    <x v="5"/>
    <s v="Gaya"/>
    <s v="Kharif"/>
    <x v="5"/>
    <n v="30.52"/>
    <n v="83.78"/>
    <n v="2744.97"/>
    <s v="Rainfed"/>
    <s v="NPK"/>
    <n v="158.41999999999999"/>
    <n v="886.78"/>
    <s v="Red"/>
    <n v="25.14"/>
    <s v="2012-10"/>
    <n v="89.940039318479677"/>
    <x v="0"/>
  </r>
  <r>
    <s v="CID291"/>
    <d v="2013-02-02T00:00:00"/>
    <n v="2012"/>
    <x v="4"/>
    <s v="Kolkata"/>
    <s v="Rabi"/>
    <x v="5"/>
    <n v="23.61"/>
    <n v="126.62"/>
    <n v="5363.01"/>
    <s v="Borewell"/>
    <s v="Urea"/>
    <n v="102.8"/>
    <n v="221.91"/>
    <s v="Sandy"/>
    <n v="22.53"/>
    <s v="2013-02"/>
    <n v="227.14993646759848"/>
    <x v="0"/>
  </r>
  <r>
    <s v="CID292"/>
    <d v="2014-04-25T00:00:00"/>
    <n v="2014"/>
    <x v="3"/>
    <s v="Hubli"/>
    <s v="Zaid"/>
    <x v="1"/>
    <n v="5.81"/>
    <n v="40.479999999999997"/>
    <n v="6968.08"/>
    <s v="Canal"/>
    <s v="Urea"/>
    <n v="213.39"/>
    <n v="219.74"/>
    <s v="Black"/>
    <n v="26.25"/>
    <s v="2014-04"/>
    <n v="1199.3253012048194"/>
    <x v="0"/>
  </r>
  <r>
    <s v="CID293"/>
    <d v="2017-05-09T00:00:00"/>
    <n v="2017"/>
    <x v="5"/>
    <s v="Gaya"/>
    <s v="Zaid"/>
    <x v="4"/>
    <n v="21.34"/>
    <n v="109.14"/>
    <n v="5114.4399999999996"/>
    <s v="Canal"/>
    <s v="DAP"/>
    <n v="125.28"/>
    <n v="861.66"/>
    <s v="Sandy"/>
    <n v="24.05"/>
    <s v="2017-05"/>
    <n v="239.66447985004683"/>
    <x v="0"/>
  </r>
  <r>
    <s v="CID294"/>
    <d v="2018-04-13T00:00:00"/>
    <n v="2018"/>
    <x v="3"/>
    <s v="Bangalore"/>
    <s v="Zaid"/>
    <x v="1"/>
    <n v="12.66"/>
    <n v="21.32"/>
    <n v="1684.08"/>
    <s v="Canal"/>
    <s v="NPK"/>
    <n v="174.43"/>
    <n v="809"/>
    <s v="Alluvial"/>
    <n v="32.47"/>
    <s v="2018-04"/>
    <n v="133.02369668246445"/>
    <x v="0"/>
  </r>
  <r>
    <s v="CID295"/>
    <d v="2014-10-25T00:00:00"/>
    <n v="2014"/>
    <x v="0"/>
    <s v="Kanpur"/>
    <s v="Kharif"/>
    <x v="5"/>
    <n v="55.27"/>
    <n v="357.16"/>
    <n v="6462.14"/>
    <s v="Drip"/>
    <s v="Compost"/>
    <n v="132.65"/>
    <n v="202.74"/>
    <s v="Black"/>
    <n v="33.6"/>
    <s v="2014-10"/>
    <n v="116.91948615885653"/>
    <x v="0"/>
  </r>
  <r>
    <s v="CID296"/>
    <d v="2022-04-04T00:00:00"/>
    <n v="2022"/>
    <x v="6"/>
    <s v="Gurgaon"/>
    <s v="Zaid"/>
    <x v="5"/>
    <n v="72.63"/>
    <n v="116.77"/>
    <n v="1607.74"/>
    <s v="Rainfed"/>
    <s v="Urea"/>
    <n v="211.08"/>
    <n v="656.75"/>
    <s v="Alluvial"/>
    <n v="23.96"/>
    <s v="2022-04"/>
    <n v="22.136031942723395"/>
    <x v="0"/>
  </r>
  <r>
    <s v="CID297"/>
    <d v="2010-12-06T00:00:00"/>
    <n v="2010"/>
    <x v="4"/>
    <s v="Kolkata"/>
    <s v="Rabi"/>
    <x v="0"/>
    <n v="80.36"/>
    <n v="231.13"/>
    <n v="2876.24"/>
    <s v="Canal"/>
    <s v="DAP"/>
    <n v="73.75"/>
    <n v="958.2"/>
    <s v="Black"/>
    <n v="20.149999999999999"/>
    <s v="2010-12"/>
    <n v="35.791936286709806"/>
    <x v="0"/>
  </r>
  <r>
    <s v="CID298"/>
    <d v="2017-04-25T00:00:00"/>
    <n v="2017"/>
    <x v="2"/>
    <s v="Pune"/>
    <s v="Zaid"/>
    <x v="0"/>
    <n v="87.97"/>
    <n v="137.03"/>
    <n v="1557.71"/>
    <s v="Rainfed"/>
    <s v="Compost"/>
    <n v="95.72"/>
    <n v="600.78"/>
    <s v="Laterite"/>
    <n v="24.08"/>
    <s v="2017-04"/>
    <n v="17.707286574968741"/>
    <x v="0"/>
  </r>
  <r>
    <s v="CID299"/>
    <d v="2020-09-21T00:00:00"/>
    <n v="2020"/>
    <x v="4"/>
    <s v="Howrah"/>
    <s v="Kharif"/>
    <x v="5"/>
    <n v="14.12"/>
    <n v="75.66"/>
    <n v="5358.47"/>
    <s v="Borewell"/>
    <s v="DAP"/>
    <n v="75.930000000000007"/>
    <n v="1111.23"/>
    <s v="Laterite"/>
    <n v="32.03"/>
    <s v="2020-09"/>
    <n v="379.49504249291789"/>
    <x v="0"/>
  </r>
  <r>
    <s v="CID300"/>
    <d v="2022-11-17T00:00:00"/>
    <n v="2022"/>
    <x v="5"/>
    <s v="Gaya"/>
    <s v="Rabi"/>
    <x v="1"/>
    <n v="3.85"/>
    <n v="19.66"/>
    <n v="5106.78"/>
    <s v="Borewell"/>
    <s v="NPK"/>
    <n v="170.77"/>
    <n v="688.12"/>
    <s v="Laterite"/>
    <n v="26.61"/>
    <s v="2022-11"/>
    <n v="1326.4363636363635"/>
    <x v="0"/>
  </r>
  <r>
    <s v="CID301"/>
    <d v="2010-05-15T00:00:00"/>
    <n v="2010"/>
    <x v="0"/>
    <s v="Kanpur"/>
    <s v="Zaid"/>
    <x v="2"/>
    <n v="52.96"/>
    <n v="289.25"/>
    <n v="5461.74"/>
    <s v="Borewell"/>
    <s v="Vermicompost"/>
    <n v="294.47000000000003"/>
    <n v="869.84"/>
    <s v="Alluvial"/>
    <n v="27.79"/>
    <s v="2010-05"/>
    <n v="103.12953172205438"/>
    <x v="0"/>
  </r>
  <r>
    <s v="CID302"/>
    <d v="2020-05-12T00:00:00"/>
    <n v="2020"/>
    <x v="1"/>
    <s v="Amritsar"/>
    <s v="Zaid"/>
    <x v="4"/>
    <n v="48.71"/>
    <n v="242.69"/>
    <n v="4982.26"/>
    <s v="Drip"/>
    <s v="DAP"/>
    <n v="87.16"/>
    <n v="1026.44"/>
    <s v="Sandy"/>
    <n v="20.82"/>
    <s v="2020-05"/>
    <n v="102.28413056867173"/>
    <x v="0"/>
  </r>
  <r>
    <s v="CID303"/>
    <d v="2017-09-05T00:00:00"/>
    <n v="2017"/>
    <x v="5"/>
    <s v="Gaya"/>
    <s v="Kharif"/>
    <x v="5"/>
    <n v="75.39"/>
    <n v="220.43"/>
    <n v="2923.8"/>
    <s v="Rainfed"/>
    <s v="Compost"/>
    <n v="292.54000000000002"/>
    <n v="250.35"/>
    <s v="Red"/>
    <n v="28.26"/>
    <s v="2017-09"/>
    <n v="38.782331874253885"/>
    <x v="0"/>
  </r>
  <r>
    <s v="CID304"/>
    <d v="2011-11-05T00:00:00"/>
    <n v="2011"/>
    <x v="4"/>
    <s v="Kolkata"/>
    <s v="Rabi"/>
    <x v="3"/>
    <n v="80.319999999999993"/>
    <n v="296.27"/>
    <n v="3688.59"/>
    <s v="Drip"/>
    <s v="Urea"/>
    <n v="161.77000000000001"/>
    <n v="318.70999999999998"/>
    <s v="Laterite"/>
    <n v="31.18"/>
    <s v="2011-11"/>
    <n v="45.923680278884468"/>
    <x v="0"/>
  </r>
  <r>
    <s v="CID305"/>
    <d v="2010-04-24T00:00:00"/>
    <n v="2010"/>
    <x v="3"/>
    <s v="Mysore"/>
    <s v="Zaid"/>
    <x v="1"/>
    <n v="1.02"/>
    <n v="1.58"/>
    <n v="1545.37"/>
    <s v="Rainfed"/>
    <s v="Urea"/>
    <n v="272.52999999999997"/>
    <n v="762.33"/>
    <s v="Laterite"/>
    <n v="34.26"/>
    <s v="2010-04"/>
    <n v="1515.0686274509803"/>
    <x v="0"/>
  </r>
  <r>
    <s v="CID306"/>
    <d v="2018-01-30T00:00:00"/>
    <n v="2017"/>
    <x v="4"/>
    <s v="Kolkata"/>
    <s v="Rabi"/>
    <x v="1"/>
    <n v="76.97"/>
    <n v="354.04"/>
    <n v="4599.71"/>
    <s v="Rainfed"/>
    <s v="NPK"/>
    <n v="228.98"/>
    <n v="314.02"/>
    <s v="Red"/>
    <n v="20.03"/>
    <s v="2018-01"/>
    <n v="59.759776536312849"/>
    <x v="0"/>
  </r>
  <r>
    <s v="CID307"/>
    <d v="2015-05-10T00:00:00"/>
    <n v="2015"/>
    <x v="5"/>
    <s v="Bhagalpur"/>
    <s v="Zaid"/>
    <x v="5"/>
    <n v="5.53"/>
    <n v="10.98"/>
    <n v="1984.93"/>
    <s v="Borewell"/>
    <s v="DAP"/>
    <n v="255.46"/>
    <n v="942.51"/>
    <s v="Laterite"/>
    <n v="21.6"/>
    <s v="2015-05"/>
    <n v="358.93851717902351"/>
    <x v="0"/>
  </r>
  <r>
    <s v="CID308"/>
    <d v="2016-09-24T00:00:00"/>
    <n v="2016"/>
    <x v="6"/>
    <s v="Gurgaon"/>
    <s v="Kharif"/>
    <x v="3"/>
    <n v="82.63"/>
    <n v="177.11"/>
    <n v="2143.4699999999998"/>
    <s v="Rainfed"/>
    <s v="Compost"/>
    <n v="76.94"/>
    <n v="614.47"/>
    <s v="Sandy"/>
    <n v="21.85"/>
    <s v="2016-09"/>
    <n v="25.940578482391381"/>
    <x v="0"/>
  </r>
  <r>
    <s v="CID309"/>
    <d v="2018-07-16T00:00:00"/>
    <n v="2018"/>
    <x v="0"/>
    <s v="Varanasi"/>
    <s v="Kharif"/>
    <x v="3"/>
    <n v="1.43"/>
    <n v="7.75"/>
    <n v="5417.28"/>
    <s v="Drip"/>
    <s v="Vermicompost"/>
    <n v="259.7"/>
    <n v="682.93"/>
    <s v="Sandy"/>
    <n v="31.72"/>
    <s v="2018-07"/>
    <n v="3788.3076923076924"/>
    <x v="0"/>
  </r>
  <r>
    <s v="CID310"/>
    <d v="2012-08-03T00:00:00"/>
    <n v="2012"/>
    <x v="6"/>
    <s v="Hisar"/>
    <s v="Kharif"/>
    <x v="3"/>
    <n v="66.09"/>
    <n v="306.45999999999998"/>
    <n v="4636.96"/>
    <s v="Rainfed"/>
    <s v="NPK"/>
    <n v="176.03"/>
    <n v="584.66"/>
    <s v="Sandy"/>
    <n v="33.74"/>
    <s v="2012-08"/>
    <n v="70.161295203510363"/>
    <x v="0"/>
  </r>
  <r>
    <s v="CID311"/>
    <d v="2015-03-22T00:00:00"/>
    <n v="2014"/>
    <x v="3"/>
    <s v="Mysore"/>
    <s v="Rabi"/>
    <x v="4"/>
    <n v="14.68"/>
    <n v="67.75"/>
    <n v="4615.1499999999996"/>
    <s v="Rainfed"/>
    <s v="DAP"/>
    <n v="260.77"/>
    <n v="747.81"/>
    <s v="Alluvial"/>
    <n v="30.68"/>
    <s v="2015-03"/>
    <n v="314.38351498637599"/>
    <x v="0"/>
  </r>
  <r>
    <s v="CID312"/>
    <d v="2019-05-15T00:00:00"/>
    <n v="2019"/>
    <x v="6"/>
    <s v="Gurgaon"/>
    <s v="Zaid"/>
    <x v="0"/>
    <n v="68.97"/>
    <n v="450.18"/>
    <n v="6527.15"/>
    <s v="Borewell"/>
    <s v="NPK"/>
    <n v="295.33"/>
    <n v="850.09"/>
    <s v="Red"/>
    <n v="27.56"/>
    <s v="2019-05"/>
    <n v="94.637523560968532"/>
    <x v="0"/>
  </r>
  <r>
    <s v="CID313"/>
    <d v="2023-02-17T00:00:00"/>
    <n v="2022"/>
    <x v="0"/>
    <s v="Lucknow"/>
    <s v="Rabi"/>
    <x v="1"/>
    <n v="48.56"/>
    <n v="214.82"/>
    <n v="4423.83"/>
    <s v="Drip"/>
    <s v="Urea"/>
    <n v="218.56"/>
    <n v="1093.8699999999999"/>
    <s v="Sandy"/>
    <n v="24.29"/>
    <s v="2023-02"/>
    <n v="91.100288303130142"/>
    <x v="0"/>
  </r>
  <r>
    <s v="CID314"/>
    <d v="2010-12-08T00:00:00"/>
    <n v="2010"/>
    <x v="5"/>
    <s v="Patna"/>
    <s v="Rabi"/>
    <x v="4"/>
    <n v="6.25"/>
    <n v="8.3699999999999992"/>
    <n v="1339.63"/>
    <s v="Rainfed"/>
    <s v="Urea"/>
    <n v="237.55"/>
    <n v="360.94"/>
    <s v="Alluvial"/>
    <n v="30.25"/>
    <s v="2010-12"/>
    <n v="214.34080000000003"/>
    <x v="0"/>
  </r>
  <r>
    <s v="CID315"/>
    <d v="2013-05-21T00:00:00"/>
    <n v="2013"/>
    <x v="0"/>
    <s v="Kanpur"/>
    <s v="Zaid"/>
    <x v="5"/>
    <n v="36.51"/>
    <n v="135.66"/>
    <n v="3715.57"/>
    <s v="Borewell"/>
    <s v="NPK"/>
    <n v="235.6"/>
    <n v="761.27"/>
    <s v="Red"/>
    <n v="27.66"/>
    <s v="2013-05"/>
    <n v="101.76855655984663"/>
    <x v="0"/>
  </r>
  <r>
    <s v="CID316"/>
    <d v="2011-02-22T00:00:00"/>
    <n v="2010"/>
    <x v="0"/>
    <s v="Varanasi"/>
    <s v="Rabi"/>
    <x v="3"/>
    <n v="42.24"/>
    <n v="241.98"/>
    <n v="5728.67"/>
    <s v="Rainfed"/>
    <s v="DAP"/>
    <n v="291.45999999999998"/>
    <n v="253.8"/>
    <s v="Alluvial"/>
    <n v="23.05"/>
    <s v="2011-02"/>
    <n v="135.62192234848484"/>
    <x v="0"/>
  </r>
  <r>
    <s v="CID317"/>
    <d v="2021-05-14T00:00:00"/>
    <n v="2021"/>
    <x v="0"/>
    <s v="Varanasi"/>
    <s v="Zaid"/>
    <x v="0"/>
    <n v="75.760000000000005"/>
    <n v="324.23"/>
    <n v="4279.6899999999996"/>
    <s v="Borewell"/>
    <s v="Urea"/>
    <n v="244.04"/>
    <n v="1164.29"/>
    <s v="Alluvial"/>
    <n v="26.73"/>
    <s v="2021-05"/>
    <n v="56.490100316789857"/>
    <x v="0"/>
  </r>
  <r>
    <s v="CID318"/>
    <d v="2021-04-30T00:00:00"/>
    <n v="2021"/>
    <x v="6"/>
    <s v="Gurgaon"/>
    <s v="Zaid"/>
    <x v="5"/>
    <n v="38.340000000000003"/>
    <n v="136.91"/>
    <n v="3571.05"/>
    <s v="Rainfed"/>
    <s v="DAP"/>
    <n v="82.52"/>
    <n v="783.99"/>
    <s v="Alluvial"/>
    <n v="20.079999999999998"/>
    <s v="2021-04"/>
    <n v="93.141627543035995"/>
    <x v="0"/>
  </r>
  <r>
    <s v="CID319"/>
    <d v="2015-05-16T00:00:00"/>
    <n v="2015"/>
    <x v="1"/>
    <s v="Ludhiana"/>
    <s v="Zaid"/>
    <x v="5"/>
    <n v="77.59"/>
    <n v="368.72"/>
    <n v="4752.2"/>
    <s v="Rainfed"/>
    <s v="NPK"/>
    <n v="172.64"/>
    <n v="772.68"/>
    <s v="Alluvial"/>
    <n v="21.09"/>
    <s v="2015-05"/>
    <n v="61.247583451475698"/>
    <x v="0"/>
  </r>
  <r>
    <s v="CID320"/>
    <d v="2012-04-22T00:00:00"/>
    <n v="2012"/>
    <x v="5"/>
    <s v="Patna"/>
    <s v="Zaid"/>
    <x v="5"/>
    <n v="78.84"/>
    <n v="154.22999999999999"/>
    <n v="1956.22"/>
    <s v="Drip"/>
    <s v="NPK"/>
    <n v="72.989999999999995"/>
    <n v="421.2"/>
    <s v="Red"/>
    <n v="29.95"/>
    <s v="2012-04"/>
    <n v="24.812531709791983"/>
    <x v="0"/>
  </r>
  <r>
    <s v="CID321"/>
    <d v="2022-05-10T00:00:00"/>
    <n v="2022"/>
    <x v="2"/>
    <s v="Nagpur"/>
    <s v="Zaid"/>
    <x v="1"/>
    <n v="48.01"/>
    <n v="209.71"/>
    <n v="4368.01"/>
    <s v="Canal"/>
    <s v="Vermicompost"/>
    <n v="78.680000000000007"/>
    <n v="546.01"/>
    <s v="Red"/>
    <n v="33.57"/>
    <s v="2022-05"/>
    <n v="90.981253905436375"/>
    <x v="0"/>
  </r>
  <r>
    <s v="CID322"/>
    <d v="2021-02-04T00:00:00"/>
    <n v="2020"/>
    <x v="6"/>
    <s v="Gurgaon"/>
    <s v="Rabi"/>
    <x v="3"/>
    <n v="91.68"/>
    <n v="611.5"/>
    <n v="6669.93"/>
    <s v="Drip"/>
    <s v="Vermicompost"/>
    <n v="114.15"/>
    <n v="923.98"/>
    <s v="Black"/>
    <n v="33.67"/>
    <s v="2021-02"/>
    <n v="72.752290575916234"/>
    <x v="0"/>
  </r>
  <r>
    <s v="CID323"/>
    <d v="2018-03-18T00:00:00"/>
    <n v="2017"/>
    <x v="4"/>
    <s v="Darjeeling"/>
    <s v="Rabi"/>
    <x v="5"/>
    <n v="30.35"/>
    <n v="148.99"/>
    <n v="4909.17"/>
    <s v="Rainfed"/>
    <s v="Vermicompost"/>
    <n v="178.47"/>
    <n v="1148.21"/>
    <s v="Red"/>
    <n v="34.57"/>
    <s v="2018-03"/>
    <n v="161.75189456342667"/>
    <x v="0"/>
  </r>
  <r>
    <s v="CID324"/>
    <d v="2011-06-19T00:00:00"/>
    <n v="2011"/>
    <x v="1"/>
    <s v="Patiala"/>
    <s v="Kharif"/>
    <x v="2"/>
    <n v="63.32"/>
    <n v="144.31"/>
    <n v="2279.0500000000002"/>
    <s v="Drip"/>
    <s v="DAP"/>
    <n v="258.92"/>
    <n v="405.58"/>
    <s v="Laterite"/>
    <n v="29.7"/>
    <s v="2011-06"/>
    <n v="35.992577384712575"/>
    <x v="0"/>
  </r>
  <r>
    <s v="CID325"/>
    <d v="2022-02-13T00:00:00"/>
    <n v="2021"/>
    <x v="1"/>
    <s v="Amritsar"/>
    <s v="Rabi"/>
    <x v="5"/>
    <n v="9.66"/>
    <n v="12.81"/>
    <n v="1325.61"/>
    <s v="Rainfed"/>
    <s v="Compost"/>
    <n v="189.52"/>
    <n v="774.96"/>
    <s v="Red"/>
    <n v="33.659999999999997"/>
    <s v="2022-02"/>
    <n v="137.22670807453414"/>
    <x v="0"/>
  </r>
  <r>
    <s v="CID326"/>
    <d v="2016-11-19T00:00:00"/>
    <n v="2016"/>
    <x v="3"/>
    <s v="Hubli"/>
    <s v="Rabi"/>
    <x v="0"/>
    <n v="2.67"/>
    <n v="13.46"/>
    <n v="5039.79"/>
    <s v="Canal"/>
    <s v="NPK"/>
    <n v="210.36"/>
    <n v="818.35"/>
    <s v="Sandy"/>
    <n v="20.68"/>
    <s v="2016-11"/>
    <n v="1887.5617977528091"/>
    <x v="0"/>
  </r>
  <r>
    <s v="CID327"/>
    <d v="2014-05-05T00:00:00"/>
    <n v="2014"/>
    <x v="5"/>
    <s v="Patna"/>
    <s v="Zaid"/>
    <x v="0"/>
    <n v="61.05"/>
    <n v="164.17"/>
    <n v="2689.1"/>
    <s v="Drip"/>
    <s v="DAP"/>
    <n v="145.35"/>
    <n v="1022.12"/>
    <s v="Black"/>
    <n v="27.11"/>
    <s v="2014-05"/>
    <n v="44.04750204750205"/>
    <x v="0"/>
  </r>
  <r>
    <s v="CID328"/>
    <d v="2016-04-03T00:00:00"/>
    <n v="2016"/>
    <x v="6"/>
    <s v="Hisar"/>
    <s v="Zaid"/>
    <x v="0"/>
    <n v="96.05"/>
    <n v="179.08"/>
    <n v="1864.45"/>
    <s v="Rainfed"/>
    <s v="Urea"/>
    <n v="289.35000000000002"/>
    <n v="211.15"/>
    <s v="Sandy"/>
    <n v="22.12"/>
    <s v="2016-04"/>
    <n v="19.411244143675169"/>
    <x v="0"/>
  </r>
  <r>
    <s v="CID329"/>
    <d v="2016-04-12T00:00:00"/>
    <n v="2016"/>
    <x v="5"/>
    <s v="Bhagalpur"/>
    <s v="Zaid"/>
    <x v="1"/>
    <n v="94.75"/>
    <n v="267.97000000000003"/>
    <n v="2828.15"/>
    <s v="Rainfed"/>
    <s v="DAP"/>
    <n v="102.93"/>
    <n v="1105.6300000000001"/>
    <s v="Sandy"/>
    <n v="22.14"/>
    <s v="2016-04"/>
    <n v="29.848548812664909"/>
    <x v="0"/>
  </r>
  <r>
    <s v="CID330"/>
    <d v="2013-10-19T00:00:00"/>
    <n v="2013"/>
    <x v="5"/>
    <s v="Gaya"/>
    <s v="Kharif"/>
    <x v="4"/>
    <n v="67.430000000000007"/>
    <n v="296.95"/>
    <n v="4403.76"/>
    <s v="Canal"/>
    <s v="Urea"/>
    <n v="262.85000000000002"/>
    <n v="1132.3699999999999"/>
    <s v="Sandy"/>
    <n v="26.92"/>
    <s v="2013-10"/>
    <n v="65.308616342874089"/>
    <x v="0"/>
  </r>
  <r>
    <s v="CID331"/>
    <d v="2011-11-18T00:00:00"/>
    <n v="2011"/>
    <x v="2"/>
    <s v="Mumbai"/>
    <s v="Rabi"/>
    <x v="5"/>
    <n v="20.54"/>
    <n v="92.09"/>
    <n v="4483.57"/>
    <s v="Rainfed"/>
    <s v="DAP"/>
    <n v="139.28"/>
    <n v="871.3"/>
    <s v="Red"/>
    <n v="21.5"/>
    <s v="2011-11"/>
    <n v="218.28481012658227"/>
    <x v="0"/>
  </r>
  <r>
    <s v="CID332"/>
    <d v="2017-12-14T00:00:00"/>
    <n v="2017"/>
    <x v="2"/>
    <s v="Pune"/>
    <s v="Rabi"/>
    <x v="1"/>
    <n v="66.28"/>
    <n v="342.05"/>
    <n v="5160.75"/>
    <s v="Borewell"/>
    <s v="Urea"/>
    <n v="191.39"/>
    <n v="564.49"/>
    <s v="Alluvial"/>
    <n v="34.380000000000003"/>
    <s v="2017-12"/>
    <n v="77.86285455642728"/>
    <x v="0"/>
  </r>
  <r>
    <s v="CID333"/>
    <d v="2022-08-31T00:00:00"/>
    <n v="2022"/>
    <x v="2"/>
    <s v="Nagpur"/>
    <s v="Kharif"/>
    <x v="2"/>
    <n v="74.239999999999995"/>
    <n v="268.51"/>
    <n v="3616.74"/>
    <s v="Rainfed"/>
    <s v="NPK"/>
    <n v="83.58"/>
    <n v="932.97"/>
    <s v="Laterite"/>
    <n v="26.94"/>
    <s v="2022-08"/>
    <n v="48.716864224137929"/>
    <x v="0"/>
  </r>
  <r>
    <s v="CID334"/>
    <d v="2011-06-05T00:00:00"/>
    <n v="2011"/>
    <x v="3"/>
    <s v="Hubli"/>
    <s v="Kharif"/>
    <x v="2"/>
    <n v="61.06"/>
    <n v="369.46"/>
    <n v="6050.76"/>
    <s v="Borewell"/>
    <s v="Vermicompost"/>
    <n v="272.82"/>
    <n v="396.43"/>
    <s v="Black"/>
    <n v="30.91"/>
    <s v="2011-06"/>
    <n v="99.095316082541757"/>
    <x v="0"/>
  </r>
  <r>
    <s v="CID335"/>
    <d v="2019-05-20T00:00:00"/>
    <n v="2019"/>
    <x v="0"/>
    <s v="Lucknow"/>
    <s v="Zaid"/>
    <x v="3"/>
    <n v="77.150000000000006"/>
    <n v="175.64"/>
    <n v="2276.56"/>
    <s v="Canal"/>
    <s v="DAP"/>
    <n v="187.9"/>
    <n v="743.47"/>
    <s v="Sandy"/>
    <n v="27.08"/>
    <s v="2019-05"/>
    <n v="29.508230719377831"/>
    <x v="0"/>
  </r>
  <r>
    <s v="CID336"/>
    <d v="2013-05-22T00:00:00"/>
    <n v="2013"/>
    <x v="2"/>
    <s v="Pune"/>
    <s v="Zaid"/>
    <x v="2"/>
    <n v="85.86"/>
    <n v="154.83000000000001"/>
    <n v="1803.29"/>
    <s v="Canal"/>
    <s v="Vermicompost"/>
    <n v="149.19999999999999"/>
    <n v="702.17"/>
    <s v="Red"/>
    <n v="32.72"/>
    <s v="2013-05"/>
    <n v="21.002678779408338"/>
    <x v="0"/>
  </r>
  <r>
    <s v="CID337"/>
    <d v="2022-05-19T00:00:00"/>
    <n v="2022"/>
    <x v="0"/>
    <s v="Lucknow"/>
    <s v="Zaid"/>
    <x v="4"/>
    <n v="45.18"/>
    <n v="93.74"/>
    <n v="2074.87"/>
    <s v="Borewell"/>
    <s v="Compost"/>
    <n v="233.98"/>
    <n v="683.5"/>
    <s v="Alluvial"/>
    <n v="20.61"/>
    <s v="2022-05"/>
    <n v="45.924524125719344"/>
    <x v="0"/>
  </r>
  <r>
    <s v="CID338"/>
    <d v="2015-01-22T00:00:00"/>
    <n v="2014"/>
    <x v="6"/>
    <s v="Gurgaon"/>
    <s v="Rabi"/>
    <x v="4"/>
    <n v="5.24"/>
    <n v="11.74"/>
    <n v="2240.64"/>
    <s v="Rainfed"/>
    <s v="Urea"/>
    <n v="147.02000000000001"/>
    <n v="1117.9000000000001"/>
    <s v="Black"/>
    <n v="20.6"/>
    <s v="2015-01"/>
    <n v="427.60305343511448"/>
    <x v="0"/>
  </r>
  <r>
    <s v="CID339"/>
    <d v="2020-11-20T00:00:00"/>
    <n v="2020"/>
    <x v="0"/>
    <s v="Varanasi"/>
    <s v="Rabi"/>
    <x v="2"/>
    <n v="27.07"/>
    <n v="115.48"/>
    <n v="4266.1000000000004"/>
    <s v="Borewell"/>
    <s v="Vermicompost"/>
    <n v="144.16"/>
    <n v="578.52"/>
    <s v="Sandy"/>
    <n v="29.8"/>
    <s v="2020-11"/>
    <n v="157.59512375323237"/>
    <x v="0"/>
  </r>
  <r>
    <s v="CID340"/>
    <d v="2013-04-09T00:00:00"/>
    <n v="2013"/>
    <x v="2"/>
    <s v="Pune"/>
    <s v="Zaid"/>
    <x v="3"/>
    <n v="35.94"/>
    <n v="223.06"/>
    <n v="6206.32"/>
    <s v="Drip"/>
    <s v="Compost"/>
    <n v="248.16"/>
    <n v="1087.17"/>
    <s v="Black"/>
    <n v="27.53"/>
    <s v="2013-04"/>
    <n v="172.68558708959378"/>
    <x v="0"/>
  </r>
  <r>
    <s v="CID341"/>
    <d v="2011-04-27T00:00:00"/>
    <n v="2011"/>
    <x v="6"/>
    <s v="Gurgaon"/>
    <s v="Zaid"/>
    <x v="2"/>
    <n v="28.8"/>
    <n v="54.76"/>
    <n v="1901.44"/>
    <s v="Borewell"/>
    <s v="NPK"/>
    <n v="140.56"/>
    <n v="917.3"/>
    <s v="Black"/>
    <n v="29.92"/>
    <s v="2011-04"/>
    <n v="66.022222222222226"/>
    <x v="0"/>
  </r>
  <r>
    <s v="CID342"/>
    <d v="2017-04-09T00:00:00"/>
    <n v="2017"/>
    <x v="0"/>
    <s v="Lucknow"/>
    <s v="Zaid"/>
    <x v="3"/>
    <n v="48.42"/>
    <n v="220.06"/>
    <n v="4544.75"/>
    <s v="Drip"/>
    <s v="Vermicompost"/>
    <n v="55.61"/>
    <n v="243.14"/>
    <s v="Sandy"/>
    <n v="28.89"/>
    <s v="2017-04"/>
    <n v="93.861007847996689"/>
    <x v="0"/>
  </r>
  <r>
    <s v="CID343"/>
    <d v="2012-08-12T00:00:00"/>
    <n v="2012"/>
    <x v="1"/>
    <s v="Patiala"/>
    <s v="Kharif"/>
    <x v="4"/>
    <n v="26.57"/>
    <n v="55.27"/>
    <n v="2080.23"/>
    <s v="Drip"/>
    <s v="Urea"/>
    <n v="199.84"/>
    <n v="763.6"/>
    <s v="Black"/>
    <n v="33.18"/>
    <s v="2012-08"/>
    <n v="78.292435077154693"/>
    <x v="0"/>
  </r>
  <r>
    <s v="CID344"/>
    <d v="2020-03-10T00:00:00"/>
    <n v="2019"/>
    <x v="6"/>
    <s v="Faridabad"/>
    <s v="Rabi"/>
    <x v="3"/>
    <n v="17.89"/>
    <n v="107.02"/>
    <n v="5982.18"/>
    <s v="Borewell"/>
    <s v="NPK"/>
    <n v="248.65"/>
    <n v="1020.45"/>
    <s v="Red"/>
    <n v="29.35"/>
    <s v="2020-03"/>
    <n v="334.38680827277807"/>
    <x v="0"/>
  </r>
  <r>
    <s v="CID345"/>
    <d v="2021-03-10T00:00:00"/>
    <n v="2020"/>
    <x v="6"/>
    <s v="Hisar"/>
    <s v="Rabi"/>
    <x v="3"/>
    <n v="60.06"/>
    <n v="84.87"/>
    <n v="1413.06"/>
    <s v="Drip"/>
    <s v="Compost"/>
    <n v="146.37"/>
    <n v="308.57"/>
    <s v="Red"/>
    <n v="27.84"/>
    <s v="2021-03"/>
    <n v="23.527472527472526"/>
    <x v="0"/>
  </r>
  <r>
    <s v="CID346"/>
    <d v="2019-07-04T00:00:00"/>
    <n v="2019"/>
    <x v="4"/>
    <s v="Kolkata"/>
    <s v="Kharif"/>
    <x v="4"/>
    <n v="48.11"/>
    <n v="225.56"/>
    <n v="4688.49"/>
    <s v="Canal"/>
    <s v="Vermicompost"/>
    <n v="269.44"/>
    <n v="731.43"/>
    <s v="Black"/>
    <n v="21.4"/>
    <s v="2019-07"/>
    <n v="97.453543961754306"/>
    <x v="0"/>
  </r>
  <r>
    <s v="CID347"/>
    <d v="2022-04-25T00:00:00"/>
    <n v="2022"/>
    <x v="5"/>
    <s v="Patna"/>
    <s v="Zaid"/>
    <x v="2"/>
    <n v="43.72"/>
    <n v="154.07"/>
    <n v="3524.1"/>
    <s v="Canal"/>
    <s v="NPK"/>
    <n v="224.41"/>
    <n v="628.96"/>
    <s v="Laterite"/>
    <n v="31.84"/>
    <s v="2022-04"/>
    <n v="80.606129917657825"/>
    <x v="0"/>
  </r>
  <r>
    <s v="CID348"/>
    <d v="2022-05-27T00:00:00"/>
    <n v="2022"/>
    <x v="5"/>
    <s v="Bhagalpur"/>
    <s v="Zaid"/>
    <x v="1"/>
    <n v="10.67"/>
    <n v="19.239999999999998"/>
    <n v="1803.3"/>
    <s v="Drip"/>
    <s v="Vermicompost"/>
    <n v="241.46"/>
    <n v="1110.0899999999999"/>
    <s v="Black"/>
    <n v="24.25"/>
    <s v="2022-05"/>
    <n v="169.00656044985942"/>
    <x v="0"/>
  </r>
  <r>
    <s v="CID349"/>
    <d v="2013-08-20T00:00:00"/>
    <n v="2013"/>
    <x v="3"/>
    <s v="Mysore"/>
    <s v="Kharif"/>
    <x v="2"/>
    <n v="74.62"/>
    <n v="77.8"/>
    <n v="1042.68"/>
    <s v="Canal"/>
    <s v="Compost"/>
    <n v="179.94"/>
    <n v="575.03"/>
    <s v="Red"/>
    <n v="30.32"/>
    <s v="2013-08"/>
    <n v="13.973197534173144"/>
    <x v="0"/>
  </r>
  <r>
    <s v="CID350"/>
    <d v="2013-02-14T00:00:00"/>
    <n v="2012"/>
    <x v="2"/>
    <s v="Nagpur"/>
    <s v="Rabi"/>
    <x v="2"/>
    <n v="58.95"/>
    <n v="151.37"/>
    <n v="2567.8200000000002"/>
    <s v="Drip"/>
    <s v="Vermicompost"/>
    <n v="191.17"/>
    <n v="811.88"/>
    <s v="Laterite"/>
    <n v="31.32"/>
    <s v="2013-02"/>
    <n v="43.559287531806618"/>
    <x v="0"/>
  </r>
  <r>
    <s v="CID351"/>
    <d v="2017-07-01T00:00:00"/>
    <n v="2017"/>
    <x v="4"/>
    <s v="Darjeeling"/>
    <s v="Kharif"/>
    <x v="0"/>
    <n v="56.35"/>
    <n v="219.91"/>
    <n v="3902.56"/>
    <s v="Rainfed"/>
    <s v="DAP"/>
    <n v="194.41"/>
    <n v="974.19"/>
    <s v="Laterite"/>
    <n v="31.04"/>
    <s v="2017-07"/>
    <n v="69.255723158828744"/>
    <x v="0"/>
  </r>
  <r>
    <s v="CID352"/>
    <d v="2012-07-08T00:00:00"/>
    <n v="2012"/>
    <x v="3"/>
    <s v="Hubli"/>
    <s v="Kharif"/>
    <x v="4"/>
    <n v="51.33"/>
    <n v="293.43"/>
    <n v="5716.49"/>
    <s v="Canal"/>
    <s v="Compost"/>
    <n v="90.18"/>
    <n v="1164.57"/>
    <s v="Black"/>
    <n v="32.07"/>
    <s v="2012-07"/>
    <n v="111.36742645626339"/>
    <x v="0"/>
  </r>
  <r>
    <s v="CID353"/>
    <d v="2011-10-12T00:00:00"/>
    <n v="2011"/>
    <x v="5"/>
    <s v="Gaya"/>
    <s v="Kharif"/>
    <x v="0"/>
    <n v="22.96"/>
    <n v="33.99"/>
    <n v="1480.24"/>
    <s v="Canal"/>
    <s v="NPK"/>
    <n v="231.12"/>
    <n v="1130.68"/>
    <s v="Laterite"/>
    <n v="29.21"/>
    <s v="2011-10"/>
    <n v="64.470383275261327"/>
    <x v="0"/>
  </r>
  <r>
    <s v="CID354"/>
    <d v="2010-07-30T00:00:00"/>
    <n v="2010"/>
    <x v="0"/>
    <s v="Varanasi"/>
    <s v="Kharif"/>
    <x v="2"/>
    <n v="49.94"/>
    <n v="53.15"/>
    <n v="1064.26"/>
    <s v="Rainfed"/>
    <s v="Vermicompost"/>
    <n v="98.69"/>
    <n v="983.96"/>
    <s v="Sandy"/>
    <n v="27.74"/>
    <s v="2010-07"/>
    <n v="21.310772927513018"/>
    <x v="0"/>
  </r>
  <r>
    <s v="CID355"/>
    <d v="2011-02-12T00:00:00"/>
    <n v="2010"/>
    <x v="6"/>
    <s v="Hisar"/>
    <s v="Rabi"/>
    <x v="4"/>
    <n v="65.849999999999994"/>
    <n v="451.33"/>
    <n v="6853.88"/>
    <s v="Canal"/>
    <s v="Vermicompost"/>
    <n v="299.2"/>
    <n v="979.67"/>
    <s v="Alluvial"/>
    <n v="30.04"/>
    <s v="2011-02"/>
    <n v="104.08321943811694"/>
    <x v="0"/>
  </r>
  <r>
    <s v="CID356"/>
    <d v="2010-05-23T00:00:00"/>
    <n v="2010"/>
    <x v="6"/>
    <s v="Hisar"/>
    <s v="Zaid"/>
    <x v="2"/>
    <n v="7.79"/>
    <n v="12"/>
    <n v="1541"/>
    <s v="Rainfed"/>
    <s v="NPK"/>
    <n v="231.53"/>
    <n v="759.11"/>
    <s v="Sandy"/>
    <n v="25.22"/>
    <s v="2010-05"/>
    <n v="197.81771501925544"/>
    <x v="0"/>
  </r>
  <r>
    <s v="CID357"/>
    <d v="2013-11-30T00:00:00"/>
    <n v="2013"/>
    <x v="6"/>
    <s v="Hisar"/>
    <s v="Rabi"/>
    <x v="3"/>
    <n v="57.92"/>
    <n v="148.66"/>
    <n v="2566.65"/>
    <s v="Drip"/>
    <s v="Vermicompost"/>
    <n v="176.56"/>
    <n v="758.63"/>
    <s v="Sandy"/>
    <n v="24.41"/>
    <s v="2013-11"/>
    <n v="44.313708563535911"/>
    <x v="0"/>
  </r>
  <r>
    <s v="CID358"/>
    <d v="2022-05-28T00:00:00"/>
    <n v="2022"/>
    <x v="2"/>
    <s v="Mumbai"/>
    <s v="Zaid"/>
    <x v="0"/>
    <n v="69.72"/>
    <n v="473.84"/>
    <n v="6796.33"/>
    <s v="Drip"/>
    <s v="Vermicompost"/>
    <n v="242.49"/>
    <n v="957.47"/>
    <s v="Laterite"/>
    <n v="30.22"/>
    <s v="2022-05"/>
    <n v="97.480349971313828"/>
    <x v="0"/>
  </r>
  <r>
    <s v="CID359"/>
    <d v="2017-08-30T00:00:00"/>
    <n v="2017"/>
    <x v="4"/>
    <s v="Kolkata"/>
    <s v="Kharif"/>
    <x v="0"/>
    <n v="7.69"/>
    <n v="36.93"/>
    <n v="4801.97"/>
    <s v="Borewell"/>
    <s v="Vermicompost"/>
    <n v="219.23"/>
    <n v="429.93"/>
    <s v="Alluvial"/>
    <n v="26.19"/>
    <s v="2017-08"/>
    <n v="624.44343302990899"/>
    <x v="0"/>
  </r>
  <r>
    <s v="CID360"/>
    <d v="2021-12-26T00:00:00"/>
    <n v="2021"/>
    <x v="5"/>
    <s v="Patna"/>
    <s v="Rabi"/>
    <x v="4"/>
    <n v="29.44"/>
    <n v="99.91"/>
    <n v="3393.58"/>
    <s v="Rainfed"/>
    <s v="Vermicompost"/>
    <n v="69.010000000000005"/>
    <n v="1131.4000000000001"/>
    <s v="Laterite"/>
    <n v="24.71"/>
    <s v="2021-12"/>
    <n v="115.27105978260869"/>
    <x v="0"/>
  </r>
  <r>
    <s v="CID361"/>
    <d v="2021-05-24T00:00:00"/>
    <n v="2021"/>
    <x v="2"/>
    <s v="Nagpur"/>
    <s v="Zaid"/>
    <x v="4"/>
    <n v="50.4"/>
    <n v="110.78"/>
    <n v="2198"/>
    <s v="Borewell"/>
    <s v="Vermicompost"/>
    <n v="268.19"/>
    <n v="406.78"/>
    <s v="Red"/>
    <n v="32.520000000000003"/>
    <s v="2021-05"/>
    <n v="43.611111111111114"/>
    <x v="0"/>
  </r>
  <r>
    <s v="CID362"/>
    <d v="2022-10-02T00:00:00"/>
    <n v="2022"/>
    <x v="2"/>
    <s v="Nagpur"/>
    <s v="Kharif"/>
    <x v="5"/>
    <n v="92.1"/>
    <n v="465.55"/>
    <n v="5054.87"/>
    <s v="Drip"/>
    <s v="NPK"/>
    <n v="203.46"/>
    <n v="964.24"/>
    <s v="Sandy"/>
    <n v="34.369999999999997"/>
    <s v="2022-10"/>
    <n v="54.884581976112926"/>
    <x v="0"/>
  </r>
  <r>
    <s v="CID363"/>
    <d v="2017-05-22T00:00:00"/>
    <n v="2017"/>
    <x v="5"/>
    <s v="Gaya"/>
    <s v="Zaid"/>
    <x v="0"/>
    <n v="49.59"/>
    <n v="342.49"/>
    <n v="6906.37"/>
    <s v="Rainfed"/>
    <s v="Compost"/>
    <n v="149.47"/>
    <n v="950.17"/>
    <s v="Red"/>
    <n v="20.81"/>
    <s v="2017-05"/>
    <n v="139.26940915507157"/>
    <x v="0"/>
  </r>
  <r>
    <s v="CID364"/>
    <d v="2010-05-15T00:00:00"/>
    <n v="2010"/>
    <x v="3"/>
    <s v="Hubli"/>
    <s v="Zaid"/>
    <x v="0"/>
    <n v="39.979999999999997"/>
    <n v="204.62"/>
    <n v="5118.03"/>
    <s v="Borewell"/>
    <s v="Urea"/>
    <n v="164.3"/>
    <n v="320.37"/>
    <s v="Sandy"/>
    <n v="26.9"/>
    <s v="2010-05"/>
    <n v="128.01475737868935"/>
    <x v="0"/>
  </r>
  <r>
    <s v="CID365"/>
    <d v="2014-01-27T00:00:00"/>
    <n v="2013"/>
    <x v="1"/>
    <s v="Patiala"/>
    <s v="Rabi"/>
    <x v="1"/>
    <n v="10.97"/>
    <n v="34.770000000000003"/>
    <n v="3169.61"/>
    <s v="Rainfed"/>
    <s v="NPK"/>
    <n v="96.79"/>
    <n v="462.85"/>
    <s v="Alluvial"/>
    <n v="27.07"/>
    <s v="2014-01"/>
    <n v="288.93436645396537"/>
    <x v="0"/>
  </r>
  <r>
    <s v="CID366"/>
    <d v="2016-07-29T00:00:00"/>
    <n v="2016"/>
    <x v="6"/>
    <s v="Faridabad"/>
    <s v="Kharif"/>
    <x v="3"/>
    <n v="70.37"/>
    <n v="227.57"/>
    <n v="3233.86"/>
    <s v="Drip"/>
    <s v="Urea"/>
    <n v="119.91"/>
    <n v="379.89"/>
    <s v="Red"/>
    <n v="34.69"/>
    <s v="2016-07"/>
    <n v="45.955094500497367"/>
    <x v="0"/>
  </r>
  <r>
    <s v="CID367"/>
    <d v="2022-07-16T00:00:00"/>
    <n v="2022"/>
    <x v="0"/>
    <s v="Kanpur"/>
    <s v="Kharif"/>
    <x v="1"/>
    <n v="43.79"/>
    <n v="143.86000000000001"/>
    <n v="3285.3"/>
    <s v="Borewell"/>
    <s v="Compost"/>
    <n v="250.01"/>
    <n v="938.54"/>
    <s v="Laterite"/>
    <n v="32.090000000000003"/>
    <s v="2022-07"/>
    <n v="75.023978077186584"/>
    <x v="0"/>
  </r>
  <r>
    <s v="CID368"/>
    <d v="2020-05-15T00:00:00"/>
    <n v="2020"/>
    <x v="3"/>
    <s v="Bangalore"/>
    <s v="Zaid"/>
    <x v="1"/>
    <n v="72.34"/>
    <n v="413.21"/>
    <n v="5712"/>
    <s v="Rainfed"/>
    <s v="DAP"/>
    <n v="112.74"/>
    <n v="1058.5"/>
    <s v="Black"/>
    <n v="25.98"/>
    <s v="2020-05"/>
    <n v="78.960464473320428"/>
    <x v="0"/>
  </r>
  <r>
    <s v="CID369"/>
    <d v="2015-02-14T00:00:00"/>
    <n v="2014"/>
    <x v="1"/>
    <s v="Ludhiana"/>
    <s v="Rabi"/>
    <x v="2"/>
    <n v="10.53"/>
    <n v="57.57"/>
    <n v="5467.56"/>
    <s v="Rainfed"/>
    <s v="Urea"/>
    <n v="140.24"/>
    <n v="760.35"/>
    <s v="Alluvial"/>
    <n v="25.16"/>
    <s v="2015-02"/>
    <n v="519.23646723646732"/>
    <x v="0"/>
  </r>
  <r>
    <s v="CID370"/>
    <d v="2019-10-03T00:00:00"/>
    <n v="2019"/>
    <x v="2"/>
    <s v="Mumbai"/>
    <s v="Kharif"/>
    <x v="1"/>
    <n v="58.01"/>
    <n v="283.95"/>
    <n v="4894.79"/>
    <s v="Borewell"/>
    <s v="Compost"/>
    <n v="294.83999999999997"/>
    <n v="484.61"/>
    <s v="Alluvial"/>
    <n v="30.1"/>
    <s v="2019-10"/>
    <n v="84.378383037407346"/>
    <x v="0"/>
  </r>
  <r>
    <s v="CID371"/>
    <d v="2020-03-26T00:00:00"/>
    <n v="2019"/>
    <x v="1"/>
    <s v="Amritsar"/>
    <s v="Rabi"/>
    <x v="3"/>
    <n v="63.54"/>
    <n v="118.76"/>
    <n v="1869.09"/>
    <s v="Borewell"/>
    <s v="Compost"/>
    <n v="210.15"/>
    <n v="1128.57"/>
    <s v="Laterite"/>
    <n v="29.47"/>
    <s v="2020-03"/>
    <n v="29.415958451369214"/>
    <x v="0"/>
  </r>
  <r>
    <s v="CID372"/>
    <d v="2011-09-22T00:00:00"/>
    <n v="2011"/>
    <x v="4"/>
    <s v="Kolkata"/>
    <s v="Kharif"/>
    <x v="0"/>
    <n v="23.59"/>
    <n v="68.44"/>
    <n v="2901.27"/>
    <s v="Rainfed"/>
    <s v="NPK"/>
    <n v="227.61"/>
    <n v="805.38"/>
    <s v="Laterite"/>
    <n v="24.07"/>
    <s v="2011-09"/>
    <n v="122.98728274692667"/>
    <x v="0"/>
  </r>
  <r>
    <s v="CID373"/>
    <d v="2019-02-10T00:00:00"/>
    <n v="2018"/>
    <x v="0"/>
    <s v="Varanasi"/>
    <s v="Rabi"/>
    <x v="3"/>
    <n v="17.559999999999999"/>
    <n v="107.56"/>
    <n v="6125.27"/>
    <s v="Borewell"/>
    <s v="Urea"/>
    <n v="231.94"/>
    <n v="862.02"/>
    <s v="Black"/>
    <n v="23.16"/>
    <s v="2019-02"/>
    <n v="348.8194760820046"/>
    <x v="0"/>
  </r>
  <r>
    <s v="CID374"/>
    <d v="2017-05-27T00:00:00"/>
    <n v="2017"/>
    <x v="1"/>
    <s v="Ludhiana"/>
    <s v="Zaid"/>
    <x v="5"/>
    <n v="3.61"/>
    <n v="12.21"/>
    <n v="3382.08"/>
    <s v="Canal"/>
    <s v="Compost"/>
    <n v="75.98"/>
    <n v="818.1"/>
    <s v="Black"/>
    <n v="29.82"/>
    <s v="2017-05"/>
    <n v="936.86426592797784"/>
    <x v="0"/>
  </r>
  <r>
    <s v="CID375"/>
    <d v="2013-04-30T00:00:00"/>
    <n v="2013"/>
    <x v="2"/>
    <s v="Nagpur"/>
    <s v="Zaid"/>
    <x v="0"/>
    <n v="44.87"/>
    <n v="78.900000000000006"/>
    <n v="1758.47"/>
    <s v="Borewell"/>
    <s v="Vermicompost"/>
    <n v="57.14"/>
    <n v="863.55"/>
    <s v="Alluvial"/>
    <n v="32.96"/>
    <s v="2013-04"/>
    <n v="39.190327613104529"/>
    <x v="0"/>
  </r>
  <r>
    <s v="CID376"/>
    <d v="2017-10-15T00:00:00"/>
    <n v="2017"/>
    <x v="2"/>
    <s v="Mumbai"/>
    <s v="Kharif"/>
    <x v="2"/>
    <n v="54.39"/>
    <n v="247.2"/>
    <n v="4544.99"/>
    <s v="Drip"/>
    <s v="NPK"/>
    <n v="207.76"/>
    <n v="835.85"/>
    <s v="Sandy"/>
    <n v="26.52"/>
    <s v="2017-10"/>
    <n v="83.562971134399703"/>
    <x v="0"/>
  </r>
  <r>
    <s v="CID377"/>
    <d v="2018-07-05T00:00:00"/>
    <n v="2018"/>
    <x v="2"/>
    <s v="Pune"/>
    <s v="Kharif"/>
    <x v="5"/>
    <n v="44.74"/>
    <n v="142.93"/>
    <n v="3194.7"/>
    <s v="Rainfed"/>
    <s v="NPK"/>
    <n v="88.93"/>
    <n v="210.56"/>
    <s v="Sandy"/>
    <n v="32.229999999999997"/>
    <s v="2018-07"/>
    <n v="71.405900759946348"/>
    <x v="0"/>
  </r>
  <r>
    <s v="CID378"/>
    <d v="2018-06-02T00:00:00"/>
    <n v="2018"/>
    <x v="2"/>
    <s v="Pune"/>
    <s v="Kharif"/>
    <x v="2"/>
    <n v="92.29"/>
    <n v="616.66"/>
    <n v="6681.75"/>
    <s v="Drip"/>
    <s v="Vermicompost"/>
    <n v="124.9"/>
    <n v="965.87"/>
    <s v="Alluvial"/>
    <n v="28.96"/>
    <s v="2018-06"/>
    <n v="72.399501571134465"/>
    <x v="0"/>
  </r>
  <r>
    <s v="CID379"/>
    <d v="2016-04-16T00:00:00"/>
    <n v="2016"/>
    <x v="2"/>
    <s v="Nagpur"/>
    <s v="Zaid"/>
    <x v="3"/>
    <n v="40.08"/>
    <n v="79.34"/>
    <n v="1979.62"/>
    <s v="Drip"/>
    <s v="Vermicompost"/>
    <n v="257.11"/>
    <n v="420.59"/>
    <s v="Black"/>
    <n v="26.33"/>
    <s v="2016-04"/>
    <n v="49.391716566866265"/>
    <x v="0"/>
  </r>
  <r>
    <s v="CID380"/>
    <d v="2022-04-08T00:00:00"/>
    <n v="2022"/>
    <x v="4"/>
    <s v="Darjeeling"/>
    <s v="Zaid"/>
    <x v="2"/>
    <n v="27.91"/>
    <n v="136.5"/>
    <n v="4890.74"/>
    <s v="Rainfed"/>
    <s v="Compost"/>
    <n v="153.22999999999999"/>
    <n v="1053.48"/>
    <s v="Red"/>
    <n v="22.05"/>
    <s v="2022-04"/>
    <n v="175.23253314224291"/>
    <x v="0"/>
  </r>
  <r>
    <s v="CID381"/>
    <d v="2014-04-19T00:00:00"/>
    <n v="2014"/>
    <x v="5"/>
    <s v="Gaya"/>
    <s v="Zaid"/>
    <x v="1"/>
    <n v="49.71"/>
    <n v="145.35"/>
    <n v="2923.86"/>
    <s v="Borewell"/>
    <s v="NPK"/>
    <n v="62.41"/>
    <n v="734.97"/>
    <s v="Red"/>
    <n v="34.58"/>
    <s v="2014-04"/>
    <n v="58.818346409173209"/>
    <x v="0"/>
  </r>
  <r>
    <s v="CID382"/>
    <d v="2017-04-30T00:00:00"/>
    <n v="2017"/>
    <x v="6"/>
    <s v="Hisar"/>
    <s v="Zaid"/>
    <x v="5"/>
    <n v="24.05"/>
    <n v="45.79"/>
    <n v="1904.1"/>
    <s v="Drip"/>
    <s v="Urea"/>
    <n v="104.3"/>
    <n v="620.24"/>
    <s v="Laterite"/>
    <n v="34.97"/>
    <s v="2017-04"/>
    <n v="79.172557172557163"/>
    <x v="0"/>
  </r>
  <r>
    <s v="CID383"/>
    <d v="2022-06-04T00:00:00"/>
    <n v="2022"/>
    <x v="2"/>
    <s v="Nagpur"/>
    <s v="Kharif"/>
    <x v="5"/>
    <n v="27.38"/>
    <n v="91.85"/>
    <n v="3354.53"/>
    <s v="Drip"/>
    <s v="Urea"/>
    <n v="95.4"/>
    <n v="1095.7"/>
    <s v="Alluvial"/>
    <n v="32.26"/>
    <s v="2022-06"/>
    <n v="122.51753104455808"/>
    <x v="0"/>
  </r>
  <r>
    <s v="CID384"/>
    <d v="2013-12-24T00:00:00"/>
    <n v="2013"/>
    <x v="4"/>
    <s v="Darjeeling"/>
    <s v="Rabi"/>
    <x v="3"/>
    <n v="25.47"/>
    <n v="177.45"/>
    <n v="6967.21"/>
    <s v="Borewell"/>
    <s v="Compost"/>
    <n v="165.21"/>
    <n v="971"/>
    <s v="Sandy"/>
    <n v="29.99"/>
    <s v="2013-12"/>
    <n v="273.54574008637616"/>
    <x v="0"/>
  </r>
  <r>
    <s v="CID385"/>
    <d v="2014-11-14T00:00:00"/>
    <n v="2014"/>
    <x v="3"/>
    <s v="Hubli"/>
    <s v="Rabi"/>
    <x v="4"/>
    <n v="63.29"/>
    <n v="79.31"/>
    <n v="1253.1199999999999"/>
    <s v="Canal"/>
    <s v="DAP"/>
    <n v="113.33"/>
    <n v="838.52"/>
    <s v="Red"/>
    <n v="25.41"/>
    <s v="2014-11"/>
    <n v="19.799652393743084"/>
    <x v="0"/>
  </r>
  <r>
    <s v="CID386"/>
    <d v="2021-03-02T00:00:00"/>
    <n v="2020"/>
    <x v="1"/>
    <s v="Ludhiana"/>
    <s v="Rabi"/>
    <x v="0"/>
    <n v="2.4900000000000002"/>
    <n v="14.36"/>
    <n v="5766.34"/>
    <s v="Canal"/>
    <s v="Vermicompost"/>
    <n v="148.94999999999999"/>
    <n v="443.09"/>
    <s v="Black"/>
    <n v="28.72"/>
    <s v="2021-03"/>
    <n v="2315.7991967871485"/>
    <x v="0"/>
  </r>
  <r>
    <s v="CID387"/>
    <d v="2022-07-10T00:00:00"/>
    <n v="2022"/>
    <x v="6"/>
    <s v="Faridabad"/>
    <s v="Kharif"/>
    <x v="4"/>
    <n v="16.61"/>
    <n v="25.72"/>
    <n v="1548.41"/>
    <s v="Rainfed"/>
    <s v="Vermicompost"/>
    <n v="282.70999999999998"/>
    <n v="1196.97"/>
    <s v="Black"/>
    <n v="20.9"/>
    <s v="2022-07"/>
    <n v="93.221553281155934"/>
    <x v="0"/>
  </r>
  <r>
    <s v="CID388"/>
    <d v="2013-02-05T00:00:00"/>
    <n v="2012"/>
    <x v="4"/>
    <s v="Kolkata"/>
    <s v="Rabi"/>
    <x v="4"/>
    <n v="32.36"/>
    <n v="140.77000000000001"/>
    <n v="4350.1000000000004"/>
    <s v="Rainfed"/>
    <s v="NPK"/>
    <n v="251.38"/>
    <n v="638.72"/>
    <s v="Red"/>
    <n v="20.32"/>
    <s v="2013-02"/>
    <n v="134.42830655129791"/>
    <x v="0"/>
  </r>
  <r>
    <s v="CID389"/>
    <d v="2014-09-28T00:00:00"/>
    <n v="2014"/>
    <x v="0"/>
    <s v="Lucknow"/>
    <s v="Kharif"/>
    <x v="3"/>
    <n v="70.959999999999994"/>
    <n v="308.97000000000003"/>
    <n v="4354.1499999999996"/>
    <s v="Drip"/>
    <s v="NPK"/>
    <n v="97.44"/>
    <n v="386.63"/>
    <s v="Alluvial"/>
    <n v="24.86"/>
    <s v="2014-09"/>
    <n v="61.360625704622322"/>
    <x v="0"/>
  </r>
  <r>
    <s v="CID390"/>
    <d v="2018-07-18T00:00:00"/>
    <n v="2018"/>
    <x v="4"/>
    <s v="Darjeeling"/>
    <s v="Kharif"/>
    <x v="5"/>
    <n v="53.58"/>
    <n v="198.05"/>
    <n v="3696.31"/>
    <s v="Rainfed"/>
    <s v="Urea"/>
    <n v="185.4"/>
    <n v="654.08000000000004"/>
    <s v="Sandy"/>
    <n v="25.69"/>
    <s v="2018-07"/>
    <n v="68.986748786860772"/>
    <x v="0"/>
  </r>
  <r>
    <s v="CID391"/>
    <d v="2022-04-19T00:00:00"/>
    <n v="2022"/>
    <x v="5"/>
    <s v="Gaya"/>
    <s v="Zaid"/>
    <x v="4"/>
    <n v="32.75"/>
    <n v="45.2"/>
    <n v="1380.05"/>
    <s v="Drip"/>
    <s v="NPK"/>
    <n v="97.47"/>
    <n v="883.22"/>
    <s v="Sandy"/>
    <n v="22.31"/>
    <s v="2022-04"/>
    <n v="42.138931297709924"/>
    <x v="0"/>
  </r>
  <r>
    <s v="CID392"/>
    <d v="2015-06-26T00:00:00"/>
    <n v="2015"/>
    <x v="3"/>
    <s v="Hubli"/>
    <s v="Kharif"/>
    <x v="5"/>
    <n v="52.8"/>
    <n v="73.92"/>
    <n v="1400.08"/>
    <s v="Borewell"/>
    <s v="Urea"/>
    <n v="94.66"/>
    <n v="231.27"/>
    <s v="Black"/>
    <n v="27.28"/>
    <s v="2015-06"/>
    <n v="26.516666666666666"/>
    <x v="0"/>
  </r>
  <r>
    <s v="CID393"/>
    <d v="2016-05-29T00:00:00"/>
    <n v="2016"/>
    <x v="5"/>
    <s v="Bhagalpur"/>
    <s v="Zaid"/>
    <x v="3"/>
    <n v="53.06"/>
    <n v="276.33"/>
    <n v="5207.88"/>
    <s v="Rainfed"/>
    <s v="DAP"/>
    <n v="62.27"/>
    <n v="420.72"/>
    <s v="Black"/>
    <n v="20.2"/>
    <s v="2016-05"/>
    <n v="98.150772710139464"/>
    <x v="0"/>
  </r>
  <r>
    <s v="CID394"/>
    <d v="2012-01-08T00:00:00"/>
    <n v="2011"/>
    <x v="0"/>
    <s v="Kanpur"/>
    <s v="Rabi"/>
    <x v="2"/>
    <n v="7.01"/>
    <n v="30.48"/>
    <n v="4348.12"/>
    <s v="Drip"/>
    <s v="Vermicompost"/>
    <n v="255.51"/>
    <n v="994.25"/>
    <s v="Black"/>
    <n v="32.35"/>
    <s v="2012-01"/>
    <n v="620.2738944365193"/>
    <x v="0"/>
  </r>
  <r>
    <s v="CID395"/>
    <d v="2012-03-14T00:00:00"/>
    <n v="2011"/>
    <x v="1"/>
    <s v="Patiala"/>
    <s v="Rabi"/>
    <x v="5"/>
    <n v="94.52"/>
    <n v="639.29"/>
    <n v="6763.52"/>
    <s v="Canal"/>
    <s v="DAP"/>
    <n v="75.31"/>
    <n v="431.02"/>
    <s v="Laterite"/>
    <n v="22.84"/>
    <s v="2012-03"/>
    <n v="71.556495979686844"/>
    <x v="0"/>
  </r>
  <r>
    <s v="CID396"/>
    <d v="2012-04-11T00:00:00"/>
    <n v="2012"/>
    <x v="5"/>
    <s v="Bhagalpur"/>
    <s v="Zaid"/>
    <x v="2"/>
    <n v="56.26"/>
    <n v="308.12"/>
    <n v="5476.65"/>
    <s v="Rainfed"/>
    <s v="DAP"/>
    <n v="218.62"/>
    <n v="902.55"/>
    <s v="Laterite"/>
    <n v="33.24"/>
    <s v="2012-04"/>
    <n v="97.345360824742258"/>
    <x v="0"/>
  </r>
  <r>
    <s v="CID397"/>
    <d v="2019-01-23T00:00:00"/>
    <n v="2018"/>
    <x v="5"/>
    <s v="Gaya"/>
    <s v="Rabi"/>
    <x v="2"/>
    <n v="16.66"/>
    <n v="116.46"/>
    <n v="6990.6"/>
    <s v="Drip"/>
    <s v="NPK"/>
    <n v="283.38"/>
    <n v="1102.48"/>
    <s v="Sandy"/>
    <n v="34.869999999999997"/>
    <s v="2019-01"/>
    <n v="419.60384153661465"/>
    <x v="0"/>
  </r>
  <r>
    <s v="CID398"/>
    <d v="2016-04-29T00:00:00"/>
    <n v="2016"/>
    <x v="3"/>
    <s v="Hubli"/>
    <s v="Zaid"/>
    <x v="0"/>
    <n v="61.23"/>
    <n v="268.12"/>
    <n v="4378.87"/>
    <s v="Borewell"/>
    <s v="Compost"/>
    <n v="143.77000000000001"/>
    <n v="750.24"/>
    <s v="Alluvial"/>
    <n v="25.4"/>
    <s v="2016-04"/>
    <n v="71.515106973705699"/>
    <x v="0"/>
  </r>
  <r>
    <s v="CID399"/>
    <d v="2021-06-06T00:00:00"/>
    <n v="2021"/>
    <x v="3"/>
    <s v="Bangalore"/>
    <s v="Kharif"/>
    <x v="0"/>
    <n v="59.98"/>
    <n v="246.26"/>
    <n v="4105.66"/>
    <s v="Rainfed"/>
    <s v="NPK"/>
    <n v="51.64"/>
    <n v="1184.3900000000001"/>
    <s v="Red"/>
    <n v="32.840000000000003"/>
    <s v="2021-06"/>
    <n v="68.450483494498172"/>
    <x v="0"/>
  </r>
  <r>
    <s v="CID400"/>
    <d v="2018-04-17T00:00:00"/>
    <n v="2018"/>
    <x v="5"/>
    <s v="Bhagalpur"/>
    <s v="Zaid"/>
    <x v="1"/>
    <n v="16.32"/>
    <n v="20.02"/>
    <n v="1226.42"/>
    <s v="Rainfed"/>
    <s v="NPK"/>
    <n v="89.03"/>
    <n v="464.99"/>
    <s v="Sandy"/>
    <n v="23.75"/>
    <s v="2018-04"/>
    <n v="75.148284313725497"/>
    <x v="0"/>
  </r>
  <r>
    <s v="CID401"/>
    <d v="2016-04-07T00:00:00"/>
    <n v="2016"/>
    <x v="1"/>
    <s v="Patiala"/>
    <s v="Zaid"/>
    <x v="4"/>
    <n v="73.69"/>
    <n v="393.61"/>
    <n v="5341.48"/>
    <s v="Drip"/>
    <s v="Vermicompost"/>
    <n v="93.23"/>
    <n v="1025.71"/>
    <s v="Sandy"/>
    <n v="32.29"/>
    <s v="2016-04"/>
    <n v="72.485818971366527"/>
    <x v="0"/>
  </r>
  <r>
    <s v="CID402"/>
    <d v="2010-04-08T00:00:00"/>
    <n v="2010"/>
    <x v="0"/>
    <s v="Kanpur"/>
    <s v="Zaid"/>
    <x v="1"/>
    <n v="38.770000000000003"/>
    <n v="220.24"/>
    <n v="5680.73"/>
    <s v="Rainfed"/>
    <s v="DAP"/>
    <n v="136.97999999999999"/>
    <n v="1017.14"/>
    <s v="Laterite"/>
    <n v="33.950000000000003"/>
    <s v="2010-04"/>
    <n v="146.52385865359813"/>
    <x v="0"/>
  </r>
  <r>
    <s v="CID403"/>
    <d v="2019-10-07T00:00:00"/>
    <n v="2019"/>
    <x v="0"/>
    <s v="Varanasi"/>
    <s v="Kharif"/>
    <x v="2"/>
    <n v="77.959999999999994"/>
    <n v="256.87"/>
    <n v="3294.92"/>
    <s v="Rainfed"/>
    <s v="DAP"/>
    <n v="181.1"/>
    <n v="519.32000000000005"/>
    <s v="Sandy"/>
    <n v="22.24"/>
    <s v="2019-10"/>
    <n v="42.264238070805547"/>
    <x v="0"/>
  </r>
  <r>
    <s v="CID404"/>
    <d v="2020-04-22T00:00:00"/>
    <n v="2020"/>
    <x v="6"/>
    <s v="Gurgaon"/>
    <s v="Zaid"/>
    <x v="3"/>
    <n v="97.13"/>
    <n v="535.87"/>
    <n v="5517.04"/>
    <s v="Canal"/>
    <s v="Urea"/>
    <n v="105.52"/>
    <n v="489.78"/>
    <s v="Laterite"/>
    <n v="22.22"/>
    <s v="2020-04"/>
    <n v="56.800576546895918"/>
    <x v="0"/>
  </r>
  <r>
    <s v="CID405"/>
    <d v="2021-07-21T00:00:00"/>
    <n v="2021"/>
    <x v="3"/>
    <s v="Hubli"/>
    <s v="Kharif"/>
    <x v="1"/>
    <n v="40.520000000000003"/>
    <n v="61.2"/>
    <n v="1510.47"/>
    <s v="Drip"/>
    <s v="Compost"/>
    <n v="243.46"/>
    <n v="330.38"/>
    <s v="Red"/>
    <n v="27.21"/>
    <s v="2021-07"/>
    <n v="37.277147087857848"/>
    <x v="0"/>
  </r>
  <r>
    <s v="CID406"/>
    <d v="2019-10-26T00:00:00"/>
    <n v="2019"/>
    <x v="3"/>
    <s v="Hubli"/>
    <s v="Kharif"/>
    <x v="1"/>
    <n v="61.98"/>
    <n v="335.56"/>
    <n v="5414.01"/>
    <s v="Borewell"/>
    <s v="Urea"/>
    <n v="110.58"/>
    <n v="466.26"/>
    <s v="Laterite"/>
    <n v="24.85"/>
    <s v="2019-10"/>
    <n v="87.35091965150049"/>
    <x v="0"/>
  </r>
  <r>
    <s v="CID407"/>
    <d v="2017-02-22T00:00:00"/>
    <n v="2016"/>
    <x v="1"/>
    <s v="Patiala"/>
    <s v="Rabi"/>
    <x v="0"/>
    <n v="35.479999999999997"/>
    <n v="103.76"/>
    <n v="2924.43"/>
    <s v="Canal"/>
    <s v="Vermicompost"/>
    <n v="242.42"/>
    <n v="369.26"/>
    <s v="Alluvial"/>
    <n v="29.24"/>
    <s v="2017-02"/>
    <n v="82.424746335963931"/>
    <x v="0"/>
  </r>
  <r>
    <s v="CID408"/>
    <d v="2010-08-13T00:00:00"/>
    <n v="2010"/>
    <x v="6"/>
    <s v="Faridabad"/>
    <s v="Kharif"/>
    <x v="4"/>
    <n v="68.849999999999994"/>
    <n v="133.29"/>
    <n v="1935.95"/>
    <s v="Canal"/>
    <s v="Urea"/>
    <n v="78.09"/>
    <n v="254.54"/>
    <s v="Sandy"/>
    <n v="33.9"/>
    <s v="2010-08"/>
    <n v="28.118373275236024"/>
    <x v="0"/>
  </r>
  <r>
    <s v="CID409"/>
    <d v="2022-08-06T00:00:00"/>
    <n v="2022"/>
    <x v="2"/>
    <s v="Mumbai"/>
    <s v="Kharif"/>
    <x v="0"/>
    <n v="45.56"/>
    <n v="51.78"/>
    <n v="1136.49"/>
    <s v="Borewell"/>
    <s v="Vermicompost"/>
    <n v="235"/>
    <n v="411.88"/>
    <s v="Sandy"/>
    <n v="27.85"/>
    <s v="2022-08"/>
    <n v="24.944907813871815"/>
    <x v="0"/>
  </r>
  <r>
    <s v="CID410"/>
    <d v="2021-08-09T00:00:00"/>
    <n v="2021"/>
    <x v="3"/>
    <s v="Hubli"/>
    <s v="Kharif"/>
    <x v="2"/>
    <n v="70.180000000000007"/>
    <n v="77.92"/>
    <n v="1110.33"/>
    <s v="Canal"/>
    <s v="Urea"/>
    <n v="113.86"/>
    <n v="260.11"/>
    <s v="Red"/>
    <n v="31.84"/>
    <s v="2021-08"/>
    <n v="15.821174123681958"/>
    <x v="0"/>
  </r>
  <r>
    <s v="CID411"/>
    <d v="2010-09-06T00:00:00"/>
    <n v="2010"/>
    <x v="3"/>
    <s v="Hubli"/>
    <s v="Kharif"/>
    <x v="3"/>
    <n v="66.38"/>
    <n v="330.43"/>
    <n v="4977.8900000000003"/>
    <s v="Rainfed"/>
    <s v="Vermicompost"/>
    <n v="266.07"/>
    <n v="219.08"/>
    <s v="Laterite"/>
    <n v="23.47"/>
    <s v="2010-09"/>
    <n v="74.990810485085873"/>
    <x v="0"/>
  </r>
  <r>
    <s v="CID412"/>
    <d v="2016-03-15T00:00:00"/>
    <n v="2015"/>
    <x v="0"/>
    <s v="Lucknow"/>
    <s v="Rabi"/>
    <x v="1"/>
    <n v="53.62"/>
    <n v="113.59"/>
    <n v="2118.5"/>
    <s v="Drip"/>
    <s v="NPK"/>
    <n v="190.17"/>
    <n v="912.47"/>
    <s v="Black"/>
    <n v="23.71"/>
    <s v="2016-03"/>
    <n v="39.509511376352108"/>
    <x v="0"/>
  </r>
  <r>
    <s v="CID413"/>
    <d v="2016-04-04T00:00:00"/>
    <n v="2016"/>
    <x v="2"/>
    <s v="Pune"/>
    <s v="Zaid"/>
    <x v="4"/>
    <n v="2.82"/>
    <n v="14.4"/>
    <n v="5105.87"/>
    <s v="Rainfed"/>
    <s v="NPK"/>
    <n v="206.31"/>
    <n v="436.2"/>
    <s v="Sandy"/>
    <n v="24.14"/>
    <s v="2016-04"/>
    <n v="1810.5921985815603"/>
    <x v="0"/>
  </r>
  <r>
    <s v="CID414"/>
    <d v="2018-12-29T00:00:00"/>
    <n v="2018"/>
    <x v="3"/>
    <s v="Bangalore"/>
    <s v="Rabi"/>
    <x v="4"/>
    <n v="16.02"/>
    <n v="102.26"/>
    <n v="6383.05"/>
    <s v="Borewell"/>
    <s v="Compost"/>
    <n v="71.95"/>
    <n v="582.21"/>
    <s v="Sandy"/>
    <n v="33.090000000000003"/>
    <s v="2018-12"/>
    <n v="398.44257178526846"/>
    <x v="0"/>
  </r>
  <r>
    <s v="CID415"/>
    <d v="2012-12-22T00:00:00"/>
    <n v="2012"/>
    <x v="6"/>
    <s v="Hisar"/>
    <s v="Rabi"/>
    <x v="0"/>
    <n v="91.06"/>
    <n v="270.97000000000003"/>
    <n v="2975.71"/>
    <s v="Borewell"/>
    <s v="DAP"/>
    <n v="101.69"/>
    <n v="338.58"/>
    <s v="Sandy"/>
    <n v="30.26"/>
    <s v="2012-12"/>
    <n v="32.678563584449812"/>
    <x v="0"/>
  </r>
  <r>
    <s v="CID416"/>
    <d v="2021-05-06T00:00:00"/>
    <n v="2021"/>
    <x v="2"/>
    <s v="Mumbai"/>
    <s v="Zaid"/>
    <x v="4"/>
    <n v="43.58"/>
    <n v="281.27"/>
    <n v="6454.01"/>
    <s v="Borewell"/>
    <s v="Vermicompost"/>
    <n v="214.06"/>
    <n v="764.84"/>
    <s v="Red"/>
    <n v="24.76"/>
    <s v="2021-05"/>
    <n v="148.09568609453879"/>
    <x v="0"/>
  </r>
  <r>
    <s v="CID417"/>
    <d v="2012-12-19T00:00:00"/>
    <n v="2012"/>
    <x v="0"/>
    <s v="Lucknow"/>
    <s v="Rabi"/>
    <x v="4"/>
    <n v="72.98"/>
    <n v="408.15"/>
    <n v="5592.61"/>
    <s v="Drip"/>
    <s v="Urea"/>
    <n v="290.3"/>
    <n v="503.35"/>
    <s v="Alluvial"/>
    <n v="22.28"/>
    <s v="2012-12"/>
    <n v="76.632090983831176"/>
    <x v="0"/>
  </r>
  <r>
    <s v="CID418"/>
    <d v="2010-05-15T00:00:00"/>
    <n v="2010"/>
    <x v="6"/>
    <s v="Gurgaon"/>
    <s v="Zaid"/>
    <x v="1"/>
    <n v="27.42"/>
    <n v="120.71"/>
    <n v="4402.26"/>
    <s v="Borewell"/>
    <s v="Compost"/>
    <n v="199.09"/>
    <n v="430.91"/>
    <s v="Black"/>
    <n v="25.39"/>
    <s v="2010-05"/>
    <n v="160.5492341356674"/>
    <x v="0"/>
  </r>
  <r>
    <s v="CID419"/>
    <d v="2020-02-13T00:00:00"/>
    <n v="2019"/>
    <x v="6"/>
    <s v="Hisar"/>
    <s v="Rabi"/>
    <x v="2"/>
    <n v="65.31"/>
    <n v="137.4"/>
    <n v="2103.86"/>
    <s v="Drip"/>
    <s v="Urea"/>
    <n v="172.86"/>
    <n v="337.51"/>
    <s v="Red"/>
    <n v="23.39"/>
    <s v="2020-02"/>
    <n v="32.213443576787633"/>
    <x v="0"/>
  </r>
  <r>
    <s v="CID420"/>
    <d v="2013-05-02T00:00:00"/>
    <n v="2013"/>
    <x v="2"/>
    <s v="Pune"/>
    <s v="Zaid"/>
    <x v="2"/>
    <n v="98.84"/>
    <n v="548.23"/>
    <n v="5546.66"/>
    <s v="Canal"/>
    <s v="NPK"/>
    <n v="94.27"/>
    <n v="1154.7"/>
    <s v="Laterite"/>
    <n v="33.01"/>
    <s v="2013-05"/>
    <n v="56.11756373937677"/>
    <x v="0"/>
  </r>
  <r>
    <s v="CID421"/>
    <d v="2014-03-15T00:00:00"/>
    <n v="2013"/>
    <x v="4"/>
    <s v="Howrah"/>
    <s v="Rabi"/>
    <x v="3"/>
    <n v="77.849999999999994"/>
    <n v="361.81"/>
    <n v="4647.58"/>
    <s v="Drip"/>
    <s v="Urea"/>
    <n v="230.05"/>
    <n v="594.15"/>
    <s v="Sandy"/>
    <n v="28.91"/>
    <s v="2014-03"/>
    <n v="59.699165061014774"/>
    <x v="0"/>
  </r>
  <r>
    <s v="CID422"/>
    <d v="2017-11-13T00:00:00"/>
    <n v="2017"/>
    <x v="5"/>
    <s v="Patna"/>
    <s v="Rabi"/>
    <x v="5"/>
    <n v="87.9"/>
    <n v="217.49"/>
    <n v="2474.33"/>
    <s v="Drip"/>
    <s v="DAP"/>
    <n v="295.95999999999998"/>
    <n v="239.25"/>
    <s v="Laterite"/>
    <n v="27.74"/>
    <s v="2017-11"/>
    <n v="28.149374288964729"/>
    <x v="0"/>
  </r>
  <r>
    <s v="CID423"/>
    <d v="2017-02-24T00:00:00"/>
    <n v="2016"/>
    <x v="2"/>
    <s v="Pune"/>
    <s v="Rabi"/>
    <x v="0"/>
    <n v="46.67"/>
    <n v="164.97"/>
    <n v="3534.77"/>
    <s v="Canal"/>
    <s v="Urea"/>
    <n v="222.49"/>
    <n v="1103.68"/>
    <s v="Laterite"/>
    <n v="32.450000000000003"/>
    <s v="2017-02"/>
    <n v="75.739661452753367"/>
    <x v="0"/>
  </r>
  <r>
    <s v="CID424"/>
    <d v="2011-10-30T00:00:00"/>
    <n v="2011"/>
    <x v="0"/>
    <s v="Varanasi"/>
    <s v="Kharif"/>
    <x v="1"/>
    <n v="93.85"/>
    <n v="485.83"/>
    <n v="5176.68"/>
    <s v="Borewell"/>
    <s v="DAP"/>
    <n v="148.27000000000001"/>
    <n v="523.46"/>
    <s v="Black"/>
    <n v="22.68"/>
    <s v="2011-10"/>
    <n v="55.159083644112954"/>
    <x v="0"/>
  </r>
  <r>
    <s v="CID425"/>
    <d v="2015-02-01T00:00:00"/>
    <n v="2014"/>
    <x v="3"/>
    <s v="Bangalore"/>
    <s v="Rabi"/>
    <x v="2"/>
    <n v="65.209999999999994"/>
    <n v="343.58"/>
    <n v="5268.82"/>
    <s v="Borewell"/>
    <s v="Urea"/>
    <n v="229.59"/>
    <n v="323.54000000000002"/>
    <s v="Black"/>
    <n v="30.59"/>
    <s v="2015-02"/>
    <n v="80.797730409446402"/>
    <x v="0"/>
  </r>
  <r>
    <s v="CID426"/>
    <d v="2016-05-13T00:00:00"/>
    <n v="2016"/>
    <x v="5"/>
    <s v="Bhagalpur"/>
    <s v="Zaid"/>
    <x v="1"/>
    <n v="61.6"/>
    <n v="120.7"/>
    <n v="1959.4"/>
    <s v="Drip"/>
    <s v="DAP"/>
    <n v="60.98"/>
    <n v="370.88"/>
    <s v="Alluvial"/>
    <n v="28.48"/>
    <s v="2016-05"/>
    <n v="31.808441558441558"/>
    <x v="0"/>
  </r>
  <r>
    <s v="CID427"/>
    <d v="2012-04-01T00:00:00"/>
    <n v="2012"/>
    <x v="6"/>
    <s v="Gurgaon"/>
    <s v="Zaid"/>
    <x v="5"/>
    <n v="42.54"/>
    <n v="121.54"/>
    <n v="2857.11"/>
    <s v="Drip"/>
    <s v="Vermicompost"/>
    <n v="122.2"/>
    <n v="380.7"/>
    <s v="Red"/>
    <n v="34.409999999999997"/>
    <s v="2012-04"/>
    <n v="67.162905500705222"/>
    <x v="0"/>
  </r>
  <r>
    <s v="CID428"/>
    <d v="2011-03-02T00:00:00"/>
    <n v="2010"/>
    <x v="4"/>
    <s v="Howrah"/>
    <s v="Rabi"/>
    <x v="3"/>
    <n v="85.69"/>
    <n v="365.13"/>
    <n v="4261.01"/>
    <s v="Canal"/>
    <s v="Compost"/>
    <n v="202"/>
    <n v="693.47"/>
    <s v="Red"/>
    <n v="28.83"/>
    <s v="2011-03"/>
    <n v="49.725872330493644"/>
    <x v="0"/>
  </r>
  <r>
    <s v="CID429"/>
    <d v="2011-04-10T00:00:00"/>
    <n v="2011"/>
    <x v="3"/>
    <s v="Mysore"/>
    <s v="Zaid"/>
    <x v="1"/>
    <n v="1.65"/>
    <n v="10.38"/>
    <n v="6293.01"/>
    <s v="Rainfed"/>
    <s v="Urea"/>
    <n v="204.94"/>
    <n v="757.55"/>
    <s v="Red"/>
    <n v="20.73"/>
    <s v="2011-04"/>
    <n v="3813.945454545455"/>
    <x v="0"/>
  </r>
  <r>
    <s v="CID430"/>
    <d v="2010-07-16T00:00:00"/>
    <n v="2010"/>
    <x v="0"/>
    <s v="Kanpur"/>
    <s v="Kharif"/>
    <x v="5"/>
    <n v="67.03"/>
    <n v="404.06"/>
    <n v="6028.09"/>
    <s v="Rainfed"/>
    <s v="DAP"/>
    <n v="132.78"/>
    <n v="287.7"/>
    <s v="Black"/>
    <n v="26.25"/>
    <s v="2010-07"/>
    <n v="89.931224824705353"/>
    <x v="0"/>
  </r>
  <r>
    <s v="CID431"/>
    <d v="2019-04-06T00:00:00"/>
    <n v="2019"/>
    <x v="0"/>
    <s v="Kanpur"/>
    <s v="Zaid"/>
    <x v="2"/>
    <n v="70.28"/>
    <n v="311.60000000000002"/>
    <n v="4433.7"/>
    <s v="Borewell"/>
    <s v="NPK"/>
    <n v="291.57"/>
    <n v="949.33"/>
    <s v="Alluvial"/>
    <n v="33.97"/>
    <s v="2019-04"/>
    <n v="63.086226522481496"/>
    <x v="0"/>
  </r>
  <r>
    <s v="CID432"/>
    <d v="2016-09-14T00:00:00"/>
    <n v="2016"/>
    <x v="2"/>
    <s v="Pune"/>
    <s v="Kharif"/>
    <x v="3"/>
    <n v="84.49"/>
    <n v="117.4"/>
    <n v="1389.56"/>
    <s v="Drip"/>
    <s v="Vermicompost"/>
    <n v="83.64"/>
    <n v="894.62"/>
    <s v="Alluvial"/>
    <n v="24.94"/>
    <s v="2016-09"/>
    <n v="16.446443366078825"/>
    <x v="0"/>
  </r>
  <r>
    <s v="CID433"/>
    <d v="2013-05-25T00:00:00"/>
    <n v="2013"/>
    <x v="6"/>
    <s v="Hisar"/>
    <s v="Zaid"/>
    <x v="5"/>
    <n v="11.82"/>
    <n v="63.57"/>
    <n v="5378.37"/>
    <s v="Canal"/>
    <s v="NPK"/>
    <n v="170.92"/>
    <n v="888.65"/>
    <s v="Alluvial"/>
    <n v="26.41"/>
    <s v="2013-05"/>
    <n v="455.02284263959388"/>
    <x v="0"/>
  </r>
  <r>
    <s v="CID434"/>
    <d v="2019-05-27T00:00:00"/>
    <n v="2019"/>
    <x v="2"/>
    <s v="Mumbai"/>
    <s v="Zaid"/>
    <x v="0"/>
    <n v="92.78"/>
    <n v="434.74"/>
    <n v="4685.74"/>
    <s v="Drip"/>
    <s v="Vermicompost"/>
    <n v="179.93"/>
    <n v="831.86"/>
    <s v="Laterite"/>
    <n v="32.119999999999997"/>
    <s v="2019-05"/>
    <n v="50.503772364733777"/>
    <x v="0"/>
  </r>
  <r>
    <s v="CID435"/>
    <d v="2014-09-14T00:00:00"/>
    <n v="2014"/>
    <x v="6"/>
    <s v="Hisar"/>
    <s v="Kharif"/>
    <x v="5"/>
    <n v="12.7"/>
    <n v="48.12"/>
    <n v="3789.31"/>
    <s v="Canal"/>
    <s v="Urea"/>
    <n v="234.37"/>
    <n v="407.33"/>
    <s v="Sandy"/>
    <n v="34.979999999999997"/>
    <s v="2014-09"/>
    <n v="298.37086614173228"/>
    <x v="0"/>
  </r>
  <r>
    <s v="CID436"/>
    <d v="2018-04-21T00:00:00"/>
    <n v="2018"/>
    <x v="2"/>
    <s v="Pune"/>
    <s v="Zaid"/>
    <x v="4"/>
    <n v="2.12"/>
    <n v="4.68"/>
    <n v="2207.12"/>
    <s v="Rainfed"/>
    <s v="Urea"/>
    <n v="113.6"/>
    <n v="267.83999999999997"/>
    <s v="Alluvial"/>
    <n v="27.6"/>
    <s v="2018-04"/>
    <n v="1041.0943396226414"/>
    <x v="0"/>
  </r>
  <r>
    <s v="CID437"/>
    <d v="2016-03-02T00:00:00"/>
    <n v="2015"/>
    <x v="1"/>
    <s v="Patiala"/>
    <s v="Rabi"/>
    <x v="3"/>
    <n v="72.72"/>
    <n v="341.49"/>
    <n v="4695.96"/>
    <s v="Canal"/>
    <s v="Compost"/>
    <n v="258.01"/>
    <n v="394.02"/>
    <s v="Alluvial"/>
    <n v="33.83"/>
    <s v="2016-03"/>
    <n v="64.575907590759073"/>
    <x v="0"/>
  </r>
  <r>
    <s v="CID438"/>
    <d v="2020-08-16T00:00:00"/>
    <n v="2020"/>
    <x v="4"/>
    <s v="Kolkata"/>
    <s v="Kharif"/>
    <x v="3"/>
    <n v="16.38"/>
    <n v="61.65"/>
    <n v="3763.71"/>
    <s v="Rainfed"/>
    <s v="Vermicompost"/>
    <n v="165.62"/>
    <n v="1014.17"/>
    <s v="Black"/>
    <n v="32.53"/>
    <s v="2020-08"/>
    <n v="229.77472527472528"/>
    <x v="0"/>
  </r>
  <r>
    <s v="CID439"/>
    <d v="2015-04-10T00:00:00"/>
    <n v="2015"/>
    <x v="0"/>
    <s v="Varanasi"/>
    <s v="Zaid"/>
    <x v="1"/>
    <n v="2.85"/>
    <n v="12.72"/>
    <n v="4464.3900000000003"/>
    <s v="Rainfed"/>
    <s v="NPK"/>
    <n v="249.88"/>
    <n v="1088.03"/>
    <s v="Alluvial"/>
    <n v="20.99"/>
    <s v="2015-04"/>
    <n v="1566.4526315789474"/>
    <x v="0"/>
  </r>
  <r>
    <s v="CID440"/>
    <d v="2016-01-20T00:00:00"/>
    <n v="2015"/>
    <x v="4"/>
    <s v="Kolkata"/>
    <s v="Rabi"/>
    <x v="2"/>
    <n v="53.89"/>
    <n v="107.55"/>
    <n v="1995.82"/>
    <s v="Drip"/>
    <s v="Urea"/>
    <n v="96.84"/>
    <n v="316.83999999999997"/>
    <s v="Alluvial"/>
    <n v="30.58"/>
    <s v="2016-01"/>
    <n v="37.035071441825941"/>
    <x v="0"/>
  </r>
  <r>
    <s v="CID441"/>
    <d v="2011-11-10T00:00:00"/>
    <n v="2011"/>
    <x v="2"/>
    <s v="Pune"/>
    <s v="Rabi"/>
    <x v="4"/>
    <n v="37.79"/>
    <n v="225.86"/>
    <n v="5976.74"/>
    <s v="Rainfed"/>
    <s v="DAP"/>
    <n v="104.03"/>
    <n v="502.32"/>
    <s v="Black"/>
    <n v="25.61"/>
    <s v="2011-11"/>
    <n v="158.1566551997883"/>
    <x v="0"/>
  </r>
  <r>
    <s v="CID442"/>
    <d v="2018-08-23T00:00:00"/>
    <n v="2018"/>
    <x v="1"/>
    <s v="Amritsar"/>
    <s v="Kharif"/>
    <x v="3"/>
    <n v="90.59"/>
    <n v="174.34"/>
    <n v="1924.47"/>
    <s v="Rainfed"/>
    <s v="DAP"/>
    <n v="280.91000000000003"/>
    <n v="932.44"/>
    <s v="Sandy"/>
    <n v="24.66"/>
    <s v="2018-08"/>
    <n v="21.243735511645877"/>
    <x v="0"/>
  </r>
  <r>
    <s v="CID443"/>
    <d v="2018-04-03T00:00:00"/>
    <n v="2018"/>
    <x v="4"/>
    <s v="Kolkata"/>
    <s v="Zaid"/>
    <x v="4"/>
    <n v="21.31"/>
    <n v="25.98"/>
    <n v="1219.32"/>
    <s v="Drip"/>
    <s v="Vermicompost"/>
    <n v="228.42"/>
    <n v="722.34"/>
    <s v="Black"/>
    <n v="24.66"/>
    <s v="2018-04"/>
    <n v="57.218207414359455"/>
    <x v="0"/>
  </r>
  <r>
    <s v="CID444"/>
    <d v="2015-12-20T00:00:00"/>
    <n v="2015"/>
    <x v="4"/>
    <s v="Kolkata"/>
    <s v="Rabi"/>
    <x v="5"/>
    <n v="11.21"/>
    <n v="62.74"/>
    <n v="5597.08"/>
    <s v="Rainfed"/>
    <s v="NPK"/>
    <n v="55.62"/>
    <n v="958.49"/>
    <s v="Red"/>
    <n v="24.81"/>
    <s v="2015-12"/>
    <n v="499.29348795718107"/>
    <x v="0"/>
  </r>
  <r>
    <s v="CID445"/>
    <d v="2015-12-23T00:00:00"/>
    <n v="2015"/>
    <x v="2"/>
    <s v="Mumbai"/>
    <s v="Rabi"/>
    <x v="2"/>
    <n v="12.65"/>
    <n v="23.98"/>
    <n v="1895.92"/>
    <s v="Rainfed"/>
    <s v="Vermicompost"/>
    <n v="78.62"/>
    <n v="1158.3"/>
    <s v="Sandy"/>
    <n v="27.71"/>
    <s v="2015-12"/>
    <n v="149.87509881422926"/>
    <x v="0"/>
  </r>
  <r>
    <s v="CID446"/>
    <d v="2015-11-13T00:00:00"/>
    <n v="2015"/>
    <x v="2"/>
    <s v="Mumbai"/>
    <s v="Rabi"/>
    <x v="4"/>
    <n v="94.38"/>
    <n v="549.66999999999996"/>
    <n v="5824.02"/>
    <s v="Borewell"/>
    <s v="DAP"/>
    <n v="92.82"/>
    <n v="511.38"/>
    <s v="Alluvial"/>
    <n v="28.11"/>
    <s v="2015-11"/>
    <n v="61.708200890019079"/>
    <x v="0"/>
  </r>
  <r>
    <s v="CID447"/>
    <d v="2020-09-23T00:00:00"/>
    <n v="2020"/>
    <x v="1"/>
    <s v="Amritsar"/>
    <s v="Kharif"/>
    <x v="5"/>
    <n v="38.979999999999997"/>
    <n v="59.12"/>
    <n v="1516.72"/>
    <s v="Drip"/>
    <s v="Vermicompost"/>
    <n v="94.75"/>
    <n v="796.12"/>
    <s v="Sandy"/>
    <n v="29.44"/>
    <s v="2020-09"/>
    <n v="38.910210364289384"/>
    <x v="0"/>
  </r>
  <r>
    <s v="CID448"/>
    <d v="2015-06-24T00:00:00"/>
    <n v="2015"/>
    <x v="2"/>
    <s v="Pune"/>
    <s v="Kharif"/>
    <x v="2"/>
    <n v="76.08"/>
    <n v="445.51"/>
    <n v="5855.8"/>
    <s v="Canal"/>
    <s v="Compost"/>
    <n v="293.42"/>
    <n v="955.74"/>
    <s v="Laterite"/>
    <n v="28.52"/>
    <s v="2015-06"/>
    <n v="76.968980021030504"/>
    <x v="0"/>
  </r>
  <r>
    <s v="CID449"/>
    <d v="2014-04-24T00:00:00"/>
    <n v="2014"/>
    <x v="1"/>
    <s v="Amritsar"/>
    <s v="Zaid"/>
    <x v="2"/>
    <n v="71.31"/>
    <n v="270.43"/>
    <n v="3792.38"/>
    <s v="Borewell"/>
    <s v="Compost"/>
    <n v="286.86"/>
    <n v="343.72"/>
    <s v="Sandy"/>
    <n v="23.87"/>
    <s v="2014-04"/>
    <n v="53.181601458420978"/>
    <x v="0"/>
  </r>
  <r>
    <s v="CID450"/>
    <d v="2021-01-29T00:00:00"/>
    <n v="2020"/>
    <x v="6"/>
    <s v="Hisar"/>
    <s v="Rabi"/>
    <x v="0"/>
    <n v="45.88"/>
    <n v="54.21"/>
    <n v="1181.58"/>
    <s v="Drip"/>
    <s v="Vermicompost"/>
    <n v="78.22"/>
    <n v="678.65"/>
    <s v="Red"/>
    <n v="24.23"/>
    <s v="2021-01"/>
    <n v="25.753705318221446"/>
    <x v="0"/>
  </r>
  <r>
    <s v="CID451"/>
    <d v="2018-09-11T00:00:00"/>
    <n v="2018"/>
    <x v="5"/>
    <s v="Patna"/>
    <s v="Kharif"/>
    <x v="3"/>
    <n v="81.94"/>
    <n v="473.66"/>
    <n v="5780.55"/>
    <s v="Rainfed"/>
    <s v="Vermicompost"/>
    <n v="189.04"/>
    <n v="270.92"/>
    <s v="Alluvial"/>
    <n v="27.99"/>
    <s v="2018-09"/>
    <n v="70.546131315596782"/>
    <x v="0"/>
  </r>
  <r>
    <s v="CID452"/>
    <d v="2019-09-20T00:00:00"/>
    <n v="2019"/>
    <x v="3"/>
    <s v="Bangalore"/>
    <s v="Kharif"/>
    <x v="1"/>
    <n v="16.739999999999998"/>
    <n v="65.19"/>
    <n v="3894.25"/>
    <s v="Canal"/>
    <s v="Vermicompost"/>
    <n v="135.18"/>
    <n v="1013.92"/>
    <s v="Sandy"/>
    <n v="26.47"/>
    <s v="2019-09"/>
    <n v="232.631421744325"/>
    <x v="0"/>
  </r>
  <r>
    <s v="CID453"/>
    <d v="2018-05-23T00:00:00"/>
    <n v="2018"/>
    <x v="4"/>
    <s v="Howrah"/>
    <s v="Zaid"/>
    <x v="4"/>
    <n v="18.14"/>
    <n v="91.02"/>
    <n v="5017.63"/>
    <s v="Drip"/>
    <s v="Compost"/>
    <n v="78.58"/>
    <n v="796.08"/>
    <s v="Alluvial"/>
    <n v="28.33"/>
    <s v="2018-05"/>
    <n v="276.60584343991178"/>
    <x v="0"/>
  </r>
  <r>
    <s v="CID454"/>
    <d v="2016-07-06T00:00:00"/>
    <n v="2016"/>
    <x v="6"/>
    <s v="Faridabad"/>
    <s v="Kharif"/>
    <x v="1"/>
    <n v="11.77"/>
    <n v="69.260000000000005"/>
    <n v="5884.4"/>
    <s v="Drip"/>
    <s v="Vermicompost"/>
    <n v="131.85"/>
    <n v="844.99"/>
    <s v="Black"/>
    <n v="21.36"/>
    <s v="2016-07"/>
    <n v="499.94902293967715"/>
    <x v="0"/>
  </r>
  <r>
    <s v="CID455"/>
    <d v="2022-08-21T00:00:00"/>
    <n v="2022"/>
    <x v="4"/>
    <s v="Darjeeling"/>
    <s v="Kharif"/>
    <x v="4"/>
    <n v="66.430000000000007"/>
    <n v="246.98"/>
    <n v="3717.85"/>
    <s v="Rainfed"/>
    <s v="NPK"/>
    <n v="147.5"/>
    <n v="777.93"/>
    <s v="Red"/>
    <n v="23.08"/>
    <s v="2022-08"/>
    <n v="55.966430829444519"/>
    <x v="0"/>
  </r>
  <r>
    <s v="CID456"/>
    <d v="2014-12-03T00:00:00"/>
    <n v="2014"/>
    <x v="5"/>
    <s v="Bhagalpur"/>
    <s v="Rabi"/>
    <x v="2"/>
    <n v="98.28"/>
    <n v="301.29000000000002"/>
    <n v="3065.59"/>
    <s v="Canal"/>
    <s v="NPK"/>
    <n v="195.68"/>
    <n v="811.49"/>
    <s v="Sandy"/>
    <n v="26.06"/>
    <s v="2014-12"/>
    <n v="31.192409442409442"/>
    <x v="0"/>
  </r>
  <r>
    <s v="CID457"/>
    <d v="2018-10-30T00:00:00"/>
    <n v="2018"/>
    <x v="1"/>
    <s v="Amritsar"/>
    <s v="Kharif"/>
    <x v="5"/>
    <n v="70.63"/>
    <n v="418.45"/>
    <n v="5924.52"/>
    <s v="Rainfed"/>
    <s v="Compost"/>
    <n v="77.42"/>
    <n v="482.21"/>
    <s v="Black"/>
    <n v="23.53"/>
    <s v="2018-10"/>
    <n v="83.881070366699717"/>
    <x v="0"/>
  </r>
  <r>
    <s v="CID458"/>
    <d v="2022-02-01T00:00:00"/>
    <n v="2021"/>
    <x v="0"/>
    <s v="Kanpur"/>
    <s v="Rabi"/>
    <x v="3"/>
    <n v="38.770000000000003"/>
    <n v="165.58"/>
    <n v="4270.71"/>
    <s v="Borewell"/>
    <s v="Compost"/>
    <n v="168.72"/>
    <n v="388.23"/>
    <s v="Laterite"/>
    <n v="32.65"/>
    <s v="2022-02"/>
    <n v="110.15501676554035"/>
    <x v="0"/>
  </r>
  <r>
    <s v="CID459"/>
    <d v="2020-07-05T00:00:00"/>
    <n v="2020"/>
    <x v="6"/>
    <s v="Faridabad"/>
    <s v="Kharif"/>
    <x v="4"/>
    <n v="2.15"/>
    <n v="10.51"/>
    <n v="4890.34"/>
    <s v="Borewell"/>
    <s v="Urea"/>
    <n v="230.33"/>
    <n v="686.7"/>
    <s v="Laterite"/>
    <n v="34.619999999999997"/>
    <s v="2020-07"/>
    <n v="2274.5767441860467"/>
    <x v="0"/>
  </r>
  <r>
    <s v="CID460"/>
    <d v="2023-02-24T00:00:00"/>
    <n v="2022"/>
    <x v="6"/>
    <s v="Hisar"/>
    <s v="Rabi"/>
    <x v="3"/>
    <n v="89.46"/>
    <n v="462.72"/>
    <n v="5172.34"/>
    <s v="Drip"/>
    <s v="Compost"/>
    <n v="205.81"/>
    <n v="654.39"/>
    <s v="Laterite"/>
    <n v="28.28"/>
    <s v="2023-02"/>
    <n v="57.817348535658404"/>
    <x v="0"/>
  </r>
  <r>
    <s v="CID461"/>
    <d v="2012-11-09T00:00:00"/>
    <n v="2012"/>
    <x v="2"/>
    <s v="Nagpur"/>
    <s v="Rabi"/>
    <x v="1"/>
    <n v="1.74"/>
    <n v="6.94"/>
    <n v="3988.94"/>
    <s v="Borewell"/>
    <s v="Urea"/>
    <n v="228.03"/>
    <n v="469.25"/>
    <s v="Sandy"/>
    <n v="28.65"/>
    <s v="2012-11"/>
    <n v="2292.4942528735633"/>
    <x v="0"/>
  </r>
  <r>
    <s v="CID462"/>
    <d v="2021-11-21T00:00:00"/>
    <n v="2021"/>
    <x v="5"/>
    <s v="Gaya"/>
    <s v="Rabi"/>
    <x v="5"/>
    <n v="58.45"/>
    <n v="395.73"/>
    <n v="6770.43"/>
    <s v="Canal"/>
    <s v="Vermicompost"/>
    <n v="85.52"/>
    <n v="931.29"/>
    <s v="Alluvial"/>
    <n v="26.97"/>
    <s v="2021-11"/>
    <n v="115.83284858853722"/>
    <x v="0"/>
  </r>
  <r>
    <s v="CID463"/>
    <d v="2013-11-14T00:00:00"/>
    <n v="2013"/>
    <x v="5"/>
    <s v="Patna"/>
    <s v="Rabi"/>
    <x v="2"/>
    <n v="74.430000000000007"/>
    <n v="503.33"/>
    <n v="6762.47"/>
    <s v="Canal"/>
    <s v="NPK"/>
    <n v="221.02"/>
    <n v="739.2"/>
    <s v="Sandy"/>
    <n v="24.69"/>
    <s v="2013-11"/>
    <n v="90.856778180841047"/>
    <x v="0"/>
  </r>
  <r>
    <s v="CID464"/>
    <d v="2017-11-10T00:00:00"/>
    <n v="2017"/>
    <x v="5"/>
    <s v="Patna"/>
    <s v="Rabi"/>
    <x v="1"/>
    <n v="90.7"/>
    <n v="403.05"/>
    <n v="4443.79"/>
    <s v="Rainfed"/>
    <s v="Vermicompost"/>
    <n v="155.25"/>
    <n v="1160.58"/>
    <s v="Alluvial"/>
    <n v="24.34"/>
    <s v="2017-11"/>
    <n v="48.994377067254682"/>
    <x v="0"/>
  </r>
  <r>
    <s v="CID465"/>
    <d v="2021-05-10T00:00:00"/>
    <n v="2021"/>
    <x v="0"/>
    <s v="Kanpur"/>
    <s v="Zaid"/>
    <x v="0"/>
    <n v="7.08"/>
    <n v="27.18"/>
    <n v="3838.96"/>
    <s v="Borewell"/>
    <s v="Urea"/>
    <n v="193.21"/>
    <n v="856.32"/>
    <s v="Alluvial"/>
    <n v="32.130000000000003"/>
    <s v="2021-05"/>
    <n v="542.22598870056493"/>
    <x v="0"/>
  </r>
  <r>
    <s v="CID466"/>
    <d v="2011-06-29T00:00:00"/>
    <n v="2011"/>
    <x v="2"/>
    <s v="Pune"/>
    <s v="Kharif"/>
    <x v="1"/>
    <n v="8.61"/>
    <n v="49.1"/>
    <n v="5702.58"/>
    <s v="Rainfed"/>
    <s v="Vermicompost"/>
    <n v="83.13"/>
    <n v="480.97"/>
    <s v="Alluvial"/>
    <n v="20.21"/>
    <s v="2011-06"/>
    <n v="662.32055749128926"/>
    <x v="0"/>
  </r>
  <r>
    <s v="CID467"/>
    <d v="2021-06-09T00:00:00"/>
    <n v="2021"/>
    <x v="6"/>
    <s v="Hisar"/>
    <s v="Kharif"/>
    <x v="2"/>
    <n v="45.22"/>
    <n v="264.39999999999998"/>
    <n v="5847.04"/>
    <s v="Rainfed"/>
    <s v="NPK"/>
    <n v="245.63"/>
    <n v="436.2"/>
    <s v="Red"/>
    <n v="31.99"/>
    <s v="2021-06"/>
    <n v="129.30207872622734"/>
    <x v="0"/>
  </r>
  <r>
    <s v="CID468"/>
    <d v="2019-08-28T00:00:00"/>
    <n v="2019"/>
    <x v="1"/>
    <s v="Ludhiana"/>
    <s v="Kharif"/>
    <x v="3"/>
    <n v="75.52"/>
    <n v="262.64"/>
    <n v="3477.69"/>
    <s v="Drip"/>
    <s v="Urea"/>
    <n v="109.49"/>
    <n v="640.19000000000005"/>
    <s v="Red"/>
    <n v="23.16"/>
    <s v="2019-08"/>
    <n v="46.04992055084746"/>
    <x v="0"/>
  </r>
  <r>
    <s v="CID469"/>
    <d v="2022-09-08T00:00:00"/>
    <n v="2022"/>
    <x v="0"/>
    <s v="Kanpur"/>
    <s v="Kharif"/>
    <x v="5"/>
    <n v="17.59"/>
    <n v="59.67"/>
    <n v="3392.47"/>
    <s v="Rainfed"/>
    <s v="Compost"/>
    <n v="169.07"/>
    <n v="1148.25"/>
    <s v="Sandy"/>
    <n v="23.5"/>
    <s v="2022-09"/>
    <n v="192.86355884025014"/>
    <x v="0"/>
  </r>
  <r>
    <s v="CID470"/>
    <d v="2019-03-17T00:00:00"/>
    <n v="2018"/>
    <x v="2"/>
    <s v="Nagpur"/>
    <s v="Rabi"/>
    <x v="5"/>
    <n v="29.59"/>
    <n v="171.14"/>
    <n v="5783.85"/>
    <s v="Drip"/>
    <s v="NPK"/>
    <n v="219.62"/>
    <n v="1161.76"/>
    <s v="Black"/>
    <n v="21.46"/>
    <s v="2019-03"/>
    <n v="195.46637377492397"/>
    <x v="0"/>
  </r>
  <r>
    <s v="CID471"/>
    <d v="2019-05-18T00:00:00"/>
    <n v="2019"/>
    <x v="4"/>
    <s v="Howrah"/>
    <s v="Zaid"/>
    <x v="0"/>
    <n v="34.159999999999997"/>
    <n v="88.9"/>
    <n v="2602.5300000000002"/>
    <s v="Canal"/>
    <s v="DAP"/>
    <n v="113.84"/>
    <n v="784.18"/>
    <s v="Laterite"/>
    <n v="31.6"/>
    <s v="2019-05"/>
    <n v="76.186475409836078"/>
    <x v="0"/>
  </r>
  <r>
    <s v="CID472"/>
    <d v="2019-06-04T00:00:00"/>
    <n v="2019"/>
    <x v="0"/>
    <s v="Varanasi"/>
    <s v="Kharif"/>
    <x v="1"/>
    <n v="34.4"/>
    <n v="176.87"/>
    <n v="5141.67"/>
    <s v="Borewell"/>
    <s v="Compost"/>
    <n v="128.32"/>
    <n v="210.58"/>
    <s v="Black"/>
    <n v="32.479999999999997"/>
    <s v="2019-06"/>
    <n v="149.46715116279071"/>
    <x v="0"/>
  </r>
  <r>
    <s v="CID473"/>
    <d v="2011-05-09T00:00:00"/>
    <n v="2011"/>
    <x v="1"/>
    <s v="Patiala"/>
    <s v="Zaid"/>
    <x v="3"/>
    <n v="35.799999999999997"/>
    <n v="191.58"/>
    <n v="5351.5"/>
    <s v="Rainfed"/>
    <s v="DAP"/>
    <n v="98.27"/>
    <n v="223.7"/>
    <s v="Black"/>
    <n v="20.85"/>
    <s v="2011-05"/>
    <n v="149.4832402234637"/>
    <x v="0"/>
  </r>
  <r>
    <s v="CID474"/>
    <d v="2011-04-12T00:00:00"/>
    <n v="2011"/>
    <x v="5"/>
    <s v="Bhagalpur"/>
    <s v="Zaid"/>
    <x v="5"/>
    <n v="9.5500000000000007"/>
    <n v="44.2"/>
    <n v="4628.1099999999997"/>
    <s v="Drip"/>
    <s v="Urea"/>
    <n v="214.1"/>
    <n v="1099.9000000000001"/>
    <s v="Sandy"/>
    <n v="32.049999999999997"/>
    <s v="2011-04"/>
    <n v="484.61884816753917"/>
    <x v="0"/>
  </r>
  <r>
    <s v="CID475"/>
    <d v="2015-01-22T00:00:00"/>
    <n v="2014"/>
    <x v="0"/>
    <s v="Lucknow"/>
    <s v="Rabi"/>
    <x v="3"/>
    <n v="66.39"/>
    <n v="96.55"/>
    <n v="1454.29"/>
    <s v="Drip"/>
    <s v="NPK"/>
    <n v="280.67"/>
    <n v="476.38"/>
    <s v="Laterite"/>
    <n v="30.38"/>
    <s v="2015-01"/>
    <n v="21.90525681578551"/>
    <x v="0"/>
  </r>
  <r>
    <s v="CID476"/>
    <d v="2014-07-22T00:00:00"/>
    <n v="2014"/>
    <x v="6"/>
    <s v="Gurgaon"/>
    <s v="Kharif"/>
    <x v="3"/>
    <n v="39.47"/>
    <n v="275.33"/>
    <n v="6975.75"/>
    <s v="Rainfed"/>
    <s v="Vermicompost"/>
    <n v="288.89999999999998"/>
    <n v="464.66"/>
    <s v="Laterite"/>
    <n v="21.04"/>
    <s v="2014-07"/>
    <n v="176.73549531289586"/>
    <x v="0"/>
  </r>
  <r>
    <s v="CID477"/>
    <d v="2020-11-27T00:00:00"/>
    <n v="2020"/>
    <x v="3"/>
    <s v="Bangalore"/>
    <s v="Rabi"/>
    <x v="5"/>
    <n v="15.24"/>
    <n v="85.53"/>
    <n v="5612.24"/>
    <s v="Borewell"/>
    <s v="Urea"/>
    <n v="203.49"/>
    <n v="306.25"/>
    <s v="Laterite"/>
    <n v="30.73"/>
    <s v="2020-11"/>
    <n v="368.25721784776903"/>
    <x v="0"/>
  </r>
  <r>
    <s v="CID478"/>
    <d v="2019-04-18T00:00:00"/>
    <n v="2019"/>
    <x v="1"/>
    <s v="Ludhiana"/>
    <s v="Zaid"/>
    <x v="0"/>
    <n v="77.95"/>
    <n v="86.73"/>
    <n v="1112.5899999999999"/>
    <s v="Drip"/>
    <s v="DAP"/>
    <n v="87.21"/>
    <n v="840.34"/>
    <s v="Black"/>
    <n v="29.97"/>
    <s v="2019-04"/>
    <n v="14.273123797305963"/>
    <x v="0"/>
  </r>
  <r>
    <s v="CID479"/>
    <d v="2016-04-01T00:00:00"/>
    <n v="2016"/>
    <x v="0"/>
    <s v="Kanpur"/>
    <s v="Zaid"/>
    <x v="5"/>
    <n v="52.02"/>
    <n v="345.39"/>
    <n v="6639.47"/>
    <s v="Drip"/>
    <s v="Compost"/>
    <n v="169.53"/>
    <n v="603.91"/>
    <s v="Black"/>
    <n v="28.1"/>
    <s v="2016-04"/>
    <n v="127.63302575932333"/>
    <x v="0"/>
  </r>
  <r>
    <s v="CID480"/>
    <d v="2011-05-25T00:00:00"/>
    <n v="2011"/>
    <x v="0"/>
    <s v="Kanpur"/>
    <s v="Zaid"/>
    <x v="1"/>
    <n v="93.57"/>
    <n v="295.07"/>
    <n v="3153.51"/>
    <s v="Rainfed"/>
    <s v="NPK"/>
    <n v="150.15"/>
    <n v="832.27"/>
    <s v="Black"/>
    <n v="25.48"/>
    <s v="2011-05"/>
    <n v="33.702148124398853"/>
    <x v="0"/>
  </r>
  <r>
    <s v="CID481"/>
    <d v="2023-01-31T00:00:00"/>
    <n v="2022"/>
    <x v="1"/>
    <s v="Amritsar"/>
    <s v="Rabi"/>
    <x v="2"/>
    <n v="21.11"/>
    <n v="91.34"/>
    <n v="4326.8500000000004"/>
    <s v="Drip"/>
    <s v="Compost"/>
    <n v="215.18"/>
    <n v="498.87"/>
    <s v="Laterite"/>
    <n v="33.450000000000003"/>
    <s v="2023-01"/>
    <n v="204.96684036001898"/>
    <x v="0"/>
  </r>
  <r>
    <s v="CID482"/>
    <d v="2017-05-02T00:00:00"/>
    <n v="2017"/>
    <x v="1"/>
    <s v="Patiala"/>
    <s v="Zaid"/>
    <x v="4"/>
    <n v="14.85"/>
    <n v="32.049999999999997"/>
    <n v="2158.56"/>
    <s v="Borewell"/>
    <s v="Vermicompost"/>
    <n v="172.31"/>
    <n v="262.99"/>
    <s v="Sandy"/>
    <n v="29.65"/>
    <s v="2017-05"/>
    <n v="145.35757575757575"/>
    <x v="0"/>
  </r>
  <r>
    <s v="CID483"/>
    <d v="2010-10-16T00:00:00"/>
    <n v="2010"/>
    <x v="4"/>
    <s v="Howrah"/>
    <s v="Kharif"/>
    <x v="0"/>
    <n v="6.55"/>
    <n v="37.51"/>
    <n v="5726.67"/>
    <s v="Canal"/>
    <s v="DAP"/>
    <n v="151.38"/>
    <n v="411.68"/>
    <s v="Sandy"/>
    <n v="26.88"/>
    <s v="2010-10"/>
    <n v="874.30076335877868"/>
    <x v="0"/>
  </r>
  <r>
    <s v="CID484"/>
    <d v="2013-07-04T00:00:00"/>
    <n v="2013"/>
    <x v="0"/>
    <s v="Varanasi"/>
    <s v="Kharif"/>
    <x v="5"/>
    <n v="73.81"/>
    <n v="290.32"/>
    <n v="3933.37"/>
    <s v="Canal"/>
    <s v="Urea"/>
    <n v="167.8"/>
    <n v="1118.02"/>
    <s v="Black"/>
    <n v="23.64"/>
    <s v="2013-07"/>
    <n v="53.290475545319062"/>
    <x v="0"/>
  </r>
  <r>
    <s v="CID485"/>
    <d v="2010-12-27T00:00:00"/>
    <n v="2010"/>
    <x v="6"/>
    <s v="Hisar"/>
    <s v="Rabi"/>
    <x v="5"/>
    <n v="46.16"/>
    <n v="93.43"/>
    <n v="2024.14"/>
    <s v="Canal"/>
    <s v="Urea"/>
    <n v="254.45"/>
    <n v="306.33"/>
    <s v="Laterite"/>
    <n v="28.92"/>
    <s v="2010-12"/>
    <n v="43.850519930675915"/>
    <x v="0"/>
  </r>
  <r>
    <s v="CID486"/>
    <d v="2016-12-15T00:00:00"/>
    <n v="2016"/>
    <x v="4"/>
    <s v="Kolkata"/>
    <s v="Rabi"/>
    <x v="2"/>
    <n v="68.16"/>
    <n v="200.76"/>
    <n v="2945.41"/>
    <s v="Borewell"/>
    <s v="NPK"/>
    <n v="130.4"/>
    <n v="1164.69"/>
    <s v="Red"/>
    <n v="31.46"/>
    <s v="2016-12"/>
    <n v="43.213174882629112"/>
    <x v="0"/>
  </r>
  <r>
    <s v="CID487"/>
    <d v="2014-09-05T00:00:00"/>
    <n v="2014"/>
    <x v="1"/>
    <s v="Ludhiana"/>
    <s v="Kharif"/>
    <x v="3"/>
    <n v="17.64"/>
    <n v="56.79"/>
    <n v="3219.56"/>
    <s v="Borewell"/>
    <s v="DAP"/>
    <n v="159.66999999999999"/>
    <n v="1125.68"/>
    <s v="Black"/>
    <n v="22"/>
    <s v="2014-09"/>
    <n v="182.51473922902494"/>
    <x v="0"/>
  </r>
  <r>
    <s v="CID488"/>
    <d v="2011-07-23T00:00:00"/>
    <n v="2011"/>
    <x v="1"/>
    <s v="Amritsar"/>
    <s v="Kharif"/>
    <x v="5"/>
    <n v="18.760000000000002"/>
    <n v="28.79"/>
    <n v="1534.85"/>
    <s v="Rainfed"/>
    <s v="DAP"/>
    <n v="154.06"/>
    <n v="1007.41"/>
    <s v="Laterite"/>
    <n v="30.39"/>
    <s v="2011-07"/>
    <n v="81.815031982942415"/>
    <x v="0"/>
  </r>
  <r>
    <s v="CID489"/>
    <d v="2019-01-17T00:00:00"/>
    <n v="2018"/>
    <x v="0"/>
    <s v="Kanpur"/>
    <s v="Rabi"/>
    <x v="3"/>
    <n v="24.69"/>
    <n v="50.55"/>
    <n v="2047.29"/>
    <s v="Canal"/>
    <s v="NPK"/>
    <n v="199.07"/>
    <n v="917.2"/>
    <s v="Sandy"/>
    <n v="34.25"/>
    <s v="2019-01"/>
    <n v="82.919805589307401"/>
    <x v="0"/>
  </r>
  <r>
    <s v="CID490"/>
    <d v="2018-09-27T00:00:00"/>
    <n v="2018"/>
    <x v="3"/>
    <s v="Bangalore"/>
    <s v="Kharif"/>
    <x v="4"/>
    <n v="12.63"/>
    <n v="52.81"/>
    <n v="4181.1899999999996"/>
    <s v="Canal"/>
    <s v="DAP"/>
    <n v="204.73"/>
    <n v="1062.73"/>
    <s v="Sandy"/>
    <n v="27.61"/>
    <s v="2018-09"/>
    <n v="331.05225653206645"/>
    <x v="0"/>
  </r>
  <r>
    <s v="CID491"/>
    <d v="2013-09-02T00:00:00"/>
    <n v="2013"/>
    <x v="2"/>
    <s v="Nagpur"/>
    <s v="Kharif"/>
    <x v="4"/>
    <n v="68.84"/>
    <n v="468.9"/>
    <n v="6811.44"/>
    <s v="Drip"/>
    <s v="NPK"/>
    <n v="174.38"/>
    <n v="359.76"/>
    <s v="Black"/>
    <n v="20.81"/>
    <s v="2013-09"/>
    <n v="98.945961650203358"/>
    <x v="0"/>
  </r>
  <r>
    <s v="CID492"/>
    <d v="2014-11-08T00:00:00"/>
    <n v="2014"/>
    <x v="6"/>
    <s v="Faridabad"/>
    <s v="Rabi"/>
    <x v="1"/>
    <n v="80.709999999999994"/>
    <n v="447.98"/>
    <n v="5550.45"/>
    <s v="Canal"/>
    <s v="Compost"/>
    <n v="76.11"/>
    <n v="252.46"/>
    <s v="Sandy"/>
    <n v="22.64"/>
    <s v="2014-11"/>
    <n v="68.770288687894933"/>
    <x v="0"/>
  </r>
  <r>
    <s v="CID493"/>
    <d v="2011-06-29T00:00:00"/>
    <n v="2011"/>
    <x v="5"/>
    <s v="Patna"/>
    <s v="Kharif"/>
    <x v="2"/>
    <n v="45.04"/>
    <n v="201.71"/>
    <n v="4478.57"/>
    <s v="Drip"/>
    <s v="NPK"/>
    <n v="99.69"/>
    <n v="876.85"/>
    <s v="Alluvial"/>
    <n v="23.45"/>
    <s v="2011-06"/>
    <n v="99.43539076376554"/>
    <x v="0"/>
  </r>
  <r>
    <s v="CID494"/>
    <d v="2013-04-10T00:00:00"/>
    <n v="2013"/>
    <x v="6"/>
    <s v="Gurgaon"/>
    <s v="Zaid"/>
    <x v="3"/>
    <n v="87.12"/>
    <n v="283.42"/>
    <n v="3253.19"/>
    <s v="Borewell"/>
    <s v="DAP"/>
    <n v="68.38"/>
    <n v="785.09"/>
    <s v="Black"/>
    <n v="33.36"/>
    <s v="2013-04"/>
    <n v="37.341483011937555"/>
    <x v="0"/>
  </r>
  <r>
    <s v="CID495"/>
    <d v="2013-03-26T00:00:00"/>
    <n v="2012"/>
    <x v="5"/>
    <s v="Gaya"/>
    <s v="Rabi"/>
    <x v="0"/>
    <n v="14.5"/>
    <n v="77.12"/>
    <n v="5318.93"/>
    <s v="Rainfed"/>
    <s v="Urea"/>
    <n v="293.89"/>
    <n v="402.21"/>
    <s v="Red"/>
    <n v="20.48"/>
    <s v="2013-03"/>
    <n v="366.82275862068968"/>
    <x v="0"/>
  </r>
  <r>
    <s v="CID496"/>
    <d v="2012-03-27T00:00:00"/>
    <n v="2011"/>
    <x v="2"/>
    <s v="Nagpur"/>
    <s v="Rabi"/>
    <x v="3"/>
    <n v="42.4"/>
    <n v="235.83"/>
    <n v="5562.04"/>
    <s v="Borewell"/>
    <s v="Vermicompost"/>
    <n v="271.60000000000002"/>
    <n v="803.64"/>
    <s v="Sandy"/>
    <n v="33.58"/>
    <s v="2012-03"/>
    <n v="131.18018867924528"/>
    <x v="0"/>
  </r>
  <r>
    <s v="CID497"/>
    <d v="2012-01-03T00:00:00"/>
    <n v="2011"/>
    <x v="4"/>
    <s v="Kolkata"/>
    <s v="Rabi"/>
    <x v="1"/>
    <n v="49.43"/>
    <n v="344.72"/>
    <n v="6973.99"/>
    <s v="Drip"/>
    <s v="DAP"/>
    <n v="259.25"/>
    <n v="479.17"/>
    <s v="Laterite"/>
    <n v="31.04"/>
    <s v="2012-01"/>
    <n v="141.0882055431924"/>
    <x v="0"/>
  </r>
  <r>
    <s v="CID498"/>
    <d v="2019-10-08T00:00:00"/>
    <n v="2019"/>
    <x v="2"/>
    <s v="Pune"/>
    <s v="Kharif"/>
    <x v="1"/>
    <n v="94.68"/>
    <n v="613.77"/>
    <n v="6482.53"/>
    <s v="Canal"/>
    <s v="Urea"/>
    <n v="154.44"/>
    <n v="244.22"/>
    <s v="Laterite"/>
    <n v="31"/>
    <s v="2019-10"/>
    <n v="68.467786227291924"/>
    <x v="0"/>
  </r>
  <r>
    <s v="CID499"/>
    <d v="2016-12-04T00:00:00"/>
    <n v="2016"/>
    <x v="3"/>
    <s v="Hubli"/>
    <s v="Rabi"/>
    <x v="2"/>
    <n v="82.31"/>
    <n v="305.75"/>
    <n v="3714.65"/>
    <s v="Borewell"/>
    <s v="NPK"/>
    <n v="70.77"/>
    <n v="953.08"/>
    <s v="Laterite"/>
    <n v="34.25"/>
    <s v="2016-12"/>
    <n v="45.129996355242376"/>
    <x v="0"/>
  </r>
  <r>
    <s v="CID500"/>
    <d v="2020-09-27T00:00:00"/>
    <n v="2020"/>
    <x v="2"/>
    <s v="Nagpur"/>
    <s v="Kharif"/>
    <x v="5"/>
    <n v="48.5"/>
    <n v="137.21"/>
    <n v="2829.02"/>
    <s v="Drip"/>
    <s v="DAP"/>
    <n v="264.48"/>
    <n v="947.29"/>
    <s v="Black"/>
    <n v="34.65"/>
    <s v="2020-09"/>
    <n v="58.330309278350512"/>
    <x v="0"/>
  </r>
  <r>
    <m/>
    <m/>
    <m/>
    <x v="7"/>
    <m/>
    <m/>
    <x v="6"/>
    <m/>
    <m/>
    <m/>
    <m/>
    <m/>
    <m/>
    <m/>
    <m/>
    <m/>
    <m/>
    <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2EC273-BAD1-42C2-957E-95DCCA0D605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E10" firstHeaderRow="1" firstDataRow="1" firstDataCol="1"/>
  <pivotFields count="18">
    <pivotField showAll="0"/>
    <pivotField numFmtId="14" showAll="0"/>
    <pivotField showAll="0"/>
    <pivotField showAll="0"/>
    <pivotField showAll="0"/>
    <pivotField showAll="0"/>
    <pivotField axis="axisRow" showAll="0" measureFilter="1" sortType="descending">
      <items count="7">
        <item x="2"/>
        <item x="0"/>
        <item x="1"/>
        <item x="4"/>
        <item x="3"/>
        <item x="5"/>
        <item t="default"/>
      </items>
      <autoSortScope>
        <pivotArea dataOnly="0" outline="0" fieldPosition="0">
          <references count="1">
            <reference field="4294967294" count="1" selected="0">
              <x v="0"/>
            </reference>
          </references>
        </pivotArea>
      </autoSortScope>
    </pivotField>
    <pivotField numFmtId="2" showAll="0"/>
    <pivotField numFmtId="2" showAll="0"/>
    <pivotField dataField="1" numFmtId="2" showAll="0"/>
    <pivotField showAll="0"/>
    <pivotField showAll="0"/>
    <pivotField numFmtId="2" showAll="0"/>
    <pivotField numFmtId="2" showAll="0"/>
    <pivotField showAll="0"/>
    <pivotField numFmtId="2" showAll="0"/>
    <pivotField showAll="0"/>
    <pivotField numFmtId="2" showAll="0"/>
  </pivotFields>
  <rowFields count="1">
    <field x="6"/>
  </rowFields>
  <rowItems count="7">
    <i>
      <x v="4"/>
    </i>
    <i>
      <x/>
    </i>
    <i>
      <x v="2"/>
    </i>
    <i>
      <x v="5"/>
    </i>
    <i>
      <x v="1"/>
    </i>
    <i>
      <x v="3"/>
    </i>
    <i t="grand">
      <x/>
    </i>
  </rowItems>
  <colItems count="1">
    <i/>
  </colItems>
  <dataFields count="1">
    <dataField name="Sum of Yield (Kg/Ha)" fld="9" baseField="0" baseItem="0" numFmtId="2"/>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185746-C030-4CE0-8370-80626EF57415}"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82:E90" firstHeaderRow="1" firstDataRow="1" firstDataCol="1"/>
  <pivotFields count="19">
    <pivotField showAll="0"/>
    <pivotField showAll="0"/>
    <pivotField showAll="0"/>
    <pivotField showAll="0"/>
    <pivotField showAll="0"/>
    <pivotField showAll="0"/>
    <pivotField axis="axisRow" showAll="0">
      <items count="8">
        <item x="2"/>
        <item x="0"/>
        <item x="1"/>
        <item x="4"/>
        <item x="3"/>
        <item x="5"/>
        <item x="6"/>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6"/>
  </rowFields>
  <rowItems count="8">
    <i>
      <x/>
    </i>
    <i>
      <x v="1"/>
    </i>
    <i>
      <x v="2"/>
    </i>
    <i>
      <x v="3"/>
    </i>
    <i>
      <x v="4"/>
    </i>
    <i>
      <x v="5"/>
    </i>
    <i>
      <x v="6"/>
    </i>
    <i t="grand">
      <x/>
    </i>
  </rowItems>
  <colItems count="1">
    <i/>
  </colItems>
  <dataFields count="1">
    <dataField name="Count of Failure Flag" fld="1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A43282-455C-4EA3-AB0C-6189F3D0A13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9:I36" firstHeaderRow="1" firstDataRow="2" firstDataCol="1"/>
  <pivotFields count="18">
    <pivotField showAll="0"/>
    <pivotField numFmtId="14" showAll="0"/>
    <pivotField showAll="0"/>
    <pivotField showAll="0"/>
    <pivotField showAll="0"/>
    <pivotField showAll="0"/>
    <pivotField showAll="0"/>
    <pivotField numFmtId="2" showAll="0"/>
    <pivotField numFmtId="2" showAll="0"/>
    <pivotField numFmtId="2" showAll="0"/>
    <pivotField axis="axisCol" showAll="0">
      <items count="5">
        <item x="3"/>
        <item x="0"/>
        <item x="1"/>
        <item x="2"/>
        <item t="default"/>
      </items>
    </pivotField>
    <pivotField axis="axisRow" showAll="0">
      <items count="6">
        <item x="1"/>
        <item x="2"/>
        <item x="4"/>
        <item x="0"/>
        <item x="3"/>
        <item t="default"/>
      </items>
    </pivotField>
    <pivotField numFmtId="2" showAll="0"/>
    <pivotField numFmtId="2" showAll="0"/>
    <pivotField showAll="0"/>
    <pivotField numFmtId="2" showAll="0"/>
    <pivotField showAll="0"/>
    <pivotField dataField="1" numFmtId="2" showAll="0"/>
  </pivotFields>
  <rowFields count="1">
    <field x="11"/>
  </rowFields>
  <rowItems count="6">
    <i>
      <x/>
    </i>
    <i>
      <x v="1"/>
    </i>
    <i>
      <x v="2"/>
    </i>
    <i>
      <x v="3"/>
    </i>
    <i>
      <x v="4"/>
    </i>
    <i t="grand">
      <x/>
    </i>
  </rowItems>
  <colFields count="1">
    <field x="10"/>
  </colFields>
  <colItems count="5">
    <i>
      <x/>
    </i>
    <i>
      <x v="1"/>
    </i>
    <i>
      <x v="2"/>
    </i>
    <i>
      <x v="3"/>
    </i>
    <i t="grand">
      <x/>
    </i>
  </colItems>
  <dataFields count="1">
    <dataField name="Average of Yield per Acre" fld="17" subtotal="average" baseField="11"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1B7574-75CD-4F51-9D9B-7AB293B3DB6B}"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70:G80" firstHeaderRow="1" firstDataRow="2" firstDataCol="1"/>
  <pivotFields count="19">
    <pivotField showAll="0"/>
    <pivotField showAll="0"/>
    <pivotField showAll="0"/>
    <pivotField axis="axisRow" showAll="0">
      <items count="9">
        <item x="5"/>
        <item x="6"/>
        <item x="3"/>
        <item x="2"/>
        <item x="1"/>
        <item x="0"/>
        <item x="4"/>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s>
  <rowFields count="1">
    <field x="3"/>
  </rowFields>
  <rowItems count="9">
    <i>
      <x/>
    </i>
    <i>
      <x v="1"/>
    </i>
    <i>
      <x v="2"/>
    </i>
    <i>
      <x v="3"/>
    </i>
    <i>
      <x v="4"/>
    </i>
    <i>
      <x v="5"/>
    </i>
    <i>
      <x v="6"/>
    </i>
    <i>
      <x v="7"/>
    </i>
    <i t="grand">
      <x/>
    </i>
  </rowItems>
  <colFields count="1">
    <field x="18"/>
  </colFields>
  <colItems count="3">
    <i>
      <x/>
    </i>
    <i>
      <x v="1"/>
    </i>
    <i t="grand">
      <x/>
    </i>
  </colItems>
  <dataFields count="1">
    <dataField name="Count of Failure Flag" fld="1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EA80941-BEE7-4BA1-96C2-D3E93DE6EFF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3:B169" firstHeaderRow="1" firstDataRow="1" firstDataCol="1"/>
  <pivotFields count="18">
    <pivotField showAll="0"/>
    <pivotField numFmtId="14" showAll="0"/>
    <pivotField showAll="0"/>
    <pivotField showAll="0"/>
    <pivotField showAll="0"/>
    <pivotField showAll="0"/>
    <pivotField showAll="0"/>
    <pivotField numFmtId="2" showAll="0"/>
    <pivotField numFmtId="2" showAll="0"/>
    <pivotField numFmtId="2" showAll="0"/>
    <pivotField showAll="0"/>
    <pivotField showAll="0"/>
    <pivotField numFmtId="2" showAll="0"/>
    <pivotField numFmtId="2" showAll="0"/>
    <pivotField showAll="0"/>
    <pivotField numFmtId="2" showAll="0"/>
    <pivotField axis="axisRow" showAll="0">
      <items count="146">
        <item x="0"/>
        <item x="61"/>
        <item x="126"/>
        <item x="82"/>
        <item x="21"/>
        <item x="143"/>
        <item x="80"/>
        <item x="50"/>
        <item x="94"/>
        <item x="100"/>
        <item x="88"/>
        <item x="62"/>
        <item x="8"/>
        <item x="85"/>
        <item x="6"/>
        <item x="89"/>
        <item x="114"/>
        <item x="64"/>
        <item x="73"/>
        <item x="104"/>
        <item x="26"/>
        <item x="46"/>
        <item x="101"/>
        <item x="7"/>
        <item x="87"/>
        <item x="109"/>
        <item x="119"/>
        <item x="2"/>
        <item x="5"/>
        <item x="113"/>
        <item x="20"/>
        <item x="15"/>
        <item x="144"/>
        <item x="1"/>
        <item x="67"/>
        <item x="111"/>
        <item x="69"/>
        <item x="117"/>
        <item x="102"/>
        <item x="32"/>
        <item x="127"/>
        <item x="112"/>
        <item x="44"/>
        <item x="35"/>
        <item x="37"/>
        <item x="31"/>
        <item x="58"/>
        <item x="65"/>
        <item x="142"/>
        <item x="68"/>
        <item x="133"/>
        <item x="122"/>
        <item x="39"/>
        <item x="18"/>
        <item x="96"/>
        <item x="129"/>
        <item x="48"/>
        <item x="93"/>
        <item x="84"/>
        <item x="134"/>
        <item x="23"/>
        <item x="75"/>
        <item x="19"/>
        <item x="120"/>
        <item x="137"/>
        <item x="136"/>
        <item x="107"/>
        <item x="105"/>
        <item x="99"/>
        <item x="30"/>
        <item x="128"/>
        <item x="118"/>
        <item x="123"/>
        <item x="14"/>
        <item x="110"/>
        <item x="4"/>
        <item x="76"/>
        <item x="27"/>
        <item x="17"/>
        <item x="121"/>
        <item x="10"/>
        <item x="25"/>
        <item x="57"/>
        <item x="103"/>
        <item x="131"/>
        <item x="54"/>
        <item x="97"/>
        <item x="83"/>
        <item x="108"/>
        <item x="47"/>
        <item x="59"/>
        <item x="92"/>
        <item x="132"/>
        <item x="13"/>
        <item x="63"/>
        <item x="22"/>
        <item x="9"/>
        <item x="3"/>
        <item x="29"/>
        <item x="95"/>
        <item x="130"/>
        <item x="90"/>
        <item x="38"/>
        <item x="51"/>
        <item x="141"/>
        <item x="49"/>
        <item x="139"/>
        <item x="77"/>
        <item x="79"/>
        <item x="52"/>
        <item x="53"/>
        <item x="78"/>
        <item x="86"/>
        <item x="56"/>
        <item x="28"/>
        <item x="81"/>
        <item x="138"/>
        <item x="66"/>
        <item x="41"/>
        <item x="98"/>
        <item x="43"/>
        <item x="42"/>
        <item x="34"/>
        <item x="16"/>
        <item x="91"/>
        <item x="12"/>
        <item x="40"/>
        <item x="135"/>
        <item x="116"/>
        <item x="36"/>
        <item x="74"/>
        <item x="71"/>
        <item x="55"/>
        <item x="45"/>
        <item x="72"/>
        <item x="11"/>
        <item x="24"/>
        <item x="70"/>
        <item x="125"/>
        <item x="140"/>
        <item x="106"/>
        <item x="115"/>
        <item x="60"/>
        <item x="124"/>
        <item x="33"/>
        <item t="default"/>
      </items>
    </pivotField>
    <pivotField dataField="1" numFmtId="2" showAll="0"/>
  </pivotFields>
  <rowFields count="1">
    <field x="16"/>
  </rowFields>
  <rowItems count="1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t="grand">
      <x/>
    </i>
  </rowItems>
  <colItems count="1">
    <i/>
  </colItems>
  <dataFields count="1">
    <dataField name="Sum of Yield per Acre" fld="17" baseField="0" baseItem="0" numFmtId="2"/>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7EF13D1-DB63-4E83-92D2-4EF9F3A0B04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D38:E49" firstHeaderRow="1" firstDataRow="1" firstDataCol="1"/>
  <pivotFields count="18">
    <pivotField showAll="0"/>
    <pivotField numFmtId="14" showAll="0"/>
    <pivotField showAll="0"/>
    <pivotField showAll="0"/>
    <pivotField axis="axisRow" showAll="0" measureFilter="1" sortType="descending">
      <items count="22">
        <item x="14"/>
        <item x="3"/>
        <item x="15"/>
        <item x="9"/>
        <item x="18"/>
        <item x="8"/>
        <item x="17"/>
        <item x="20"/>
        <item x="16"/>
        <item x="12"/>
        <item x="11"/>
        <item x="4"/>
        <item x="0"/>
        <item x="1"/>
        <item x="19"/>
        <item x="5"/>
        <item x="13"/>
        <item x="10"/>
        <item x="7"/>
        <item x="2"/>
        <item x="6"/>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numFmtId="2" showAll="0"/>
    <pivotField numFmtId="2" showAll="0"/>
    <pivotField showAll="0"/>
    <pivotField showAll="0"/>
    <pivotField dataField="1" numFmtId="2" showAll="0"/>
    <pivotField numFmtId="2" showAll="0"/>
    <pivotField showAll="0"/>
    <pivotField numFmtId="2" showAll="0"/>
    <pivotField showAll="0"/>
    <pivotField numFmtId="2" showAll="0"/>
  </pivotFields>
  <rowFields count="1">
    <field x="4"/>
  </rowFields>
  <rowItems count="11">
    <i>
      <x v="11"/>
    </i>
    <i>
      <x v="19"/>
    </i>
    <i>
      <x v="10"/>
    </i>
    <i>
      <x/>
    </i>
    <i>
      <x v="5"/>
    </i>
    <i>
      <x v="6"/>
    </i>
    <i>
      <x v="16"/>
    </i>
    <i>
      <x v="20"/>
    </i>
    <i>
      <x v="7"/>
    </i>
    <i>
      <x v="2"/>
    </i>
    <i t="grand">
      <x/>
    </i>
  </rowItems>
  <colItems count="1">
    <i/>
  </colItems>
  <dataFields count="1">
    <dataField name="Sum of Fertilizer Used (Kg)" fld="12" baseField="0" baseItem="0" numFmtId="2"/>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B3909FE-580D-48C1-8ECE-B4F20DABC72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21:E27" firstHeaderRow="1" firstDataRow="1" firstDataCol="1"/>
  <pivotFields count="18">
    <pivotField showAll="0"/>
    <pivotField numFmtId="14" showAll="0"/>
    <pivotField showAll="0"/>
    <pivotField showAll="0"/>
    <pivotField showAll="0"/>
    <pivotField showAll="0"/>
    <pivotField showAll="0" sortType="descending">
      <items count="7">
        <item x="2"/>
        <item x="0"/>
        <item x="1"/>
        <item x="4"/>
        <item x="3"/>
        <item x="5"/>
        <item t="default"/>
      </items>
      <autoSortScope>
        <pivotArea dataOnly="0" outline="0" fieldPosition="0">
          <references count="1">
            <reference field="4294967294" count="1" selected="0">
              <x v="0"/>
            </reference>
          </references>
        </pivotArea>
      </autoSortScope>
    </pivotField>
    <pivotField numFmtId="2" showAll="0"/>
    <pivotField numFmtId="2" showAll="0"/>
    <pivotField numFmtId="2" showAll="0"/>
    <pivotField showAll="0"/>
    <pivotField axis="axisRow" showAll="0">
      <items count="6">
        <item x="1"/>
        <item x="2"/>
        <item x="4"/>
        <item x="0"/>
        <item x="3"/>
        <item t="default"/>
      </items>
    </pivotField>
    <pivotField numFmtId="2" showAll="0"/>
    <pivotField numFmtId="2" showAll="0"/>
    <pivotField showAll="0"/>
    <pivotField numFmtId="2" showAll="0"/>
    <pivotField showAll="0"/>
    <pivotField dataField="1" numFmtId="2" showAll="0"/>
  </pivotFields>
  <rowFields count="1">
    <field x="11"/>
  </rowFields>
  <rowItems count="6">
    <i>
      <x/>
    </i>
    <i>
      <x v="1"/>
    </i>
    <i>
      <x v="2"/>
    </i>
    <i>
      <x v="3"/>
    </i>
    <i>
      <x v="4"/>
    </i>
    <i t="grand">
      <x/>
    </i>
  </rowItems>
  <colItems count="1">
    <i/>
  </colItems>
  <dataFields count="1">
    <dataField name="Average of Yield per Acre" fld="17" subtotal="average" baseField="11" baseItem="1" numFmtId="2"/>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BD99469-2E25-4F92-9B50-9EB8A676409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12:E19" firstHeaderRow="1" firstDataRow="1" firstDataCol="1"/>
  <pivotFields count="18">
    <pivotField showAll="0"/>
    <pivotField numFmtId="14" showAll="0"/>
    <pivotField showAll="0"/>
    <pivotField showAll="0"/>
    <pivotField showAll="0"/>
    <pivotField showAll="0"/>
    <pivotField axis="axisRow" showAll="0" sortType="descending">
      <items count="7">
        <item x="2"/>
        <item x="0"/>
        <item x="1"/>
        <item x="4"/>
        <item x="3"/>
        <item x="5"/>
        <item t="default"/>
      </items>
      <autoSortScope>
        <pivotArea dataOnly="0" outline="0" fieldPosition="0">
          <references count="1">
            <reference field="4294967294" count="1" selected="0">
              <x v="0"/>
            </reference>
          </references>
        </pivotArea>
      </autoSortScope>
    </pivotField>
    <pivotField numFmtId="2" showAll="0"/>
    <pivotField numFmtId="2" showAll="0"/>
    <pivotField numFmtId="2" showAll="0"/>
    <pivotField showAll="0"/>
    <pivotField showAll="0"/>
    <pivotField numFmtId="2" showAll="0"/>
    <pivotField numFmtId="2" showAll="0"/>
    <pivotField showAll="0"/>
    <pivotField numFmtId="2" showAll="0"/>
    <pivotField showAll="0"/>
    <pivotField dataField="1" numFmtId="2" showAll="0"/>
  </pivotFields>
  <rowFields count="1">
    <field x="6"/>
  </rowFields>
  <rowItems count="7">
    <i>
      <x v="2"/>
    </i>
    <i>
      <x v="4"/>
    </i>
    <i>
      <x v="1"/>
    </i>
    <i>
      <x v="3"/>
    </i>
    <i>
      <x v="5"/>
    </i>
    <i>
      <x/>
    </i>
    <i t="grand">
      <x/>
    </i>
  </rowItems>
  <colItems count="1">
    <i/>
  </colItems>
  <dataFields count="1">
    <dataField name="Average of Yield per Acre" fld="17" subtotal="average" baseField="6" baseItem="4" numFmtId="2"/>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85266F1-07E7-4627-87E6-6F92325570C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3:B21" firstHeaderRow="1" firstDataRow="1" firstDataCol="1"/>
  <pivotFields count="18">
    <pivotField showAll="0"/>
    <pivotField numFmtId="14" showAll="0"/>
    <pivotField showAll="0"/>
    <pivotField axis="axisRow" showAll="0" sortType="descending">
      <items count="8">
        <item x="5"/>
        <item x="6"/>
        <item x="3"/>
        <item x="2"/>
        <item x="1"/>
        <item x="0"/>
        <item x="4"/>
        <item t="default"/>
      </items>
      <autoSortScope>
        <pivotArea dataOnly="0" outline="0" fieldPosition="0">
          <references count="1">
            <reference field="4294967294" count="1" selected="0">
              <x v="0"/>
            </reference>
          </references>
        </pivotArea>
      </autoSortScope>
    </pivotField>
    <pivotField showAll="0">
      <items count="22">
        <item x="14"/>
        <item x="3"/>
        <item x="15"/>
        <item x="9"/>
        <item x="18"/>
        <item x="8"/>
        <item x="17"/>
        <item x="20"/>
        <item x="16"/>
        <item x="12"/>
        <item x="11"/>
        <item x="4"/>
        <item x="0"/>
        <item x="1"/>
        <item x="19"/>
        <item x="5"/>
        <item x="13"/>
        <item x="10"/>
        <item x="7"/>
        <item x="2"/>
        <item x="6"/>
        <item t="default"/>
      </items>
    </pivotField>
    <pivotField showAll="0"/>
    <pivotField showAll="0"/>
    <pivotField numFmtId="2" showAll="0"/>
    <pivotField numFmtId="2" showAll="0"/>
    <pivotField dataField="1" numFmtId="2" showAll="0"/>
    <pivotField showAll="0"/>
    <pivotField showAll="0"/>
    <pivotField numFmtId="2" showAll="0"/>
    <pivotField numFmtId="2" showAll="0"/>
    <pivotField showAll="0"/>
    <pivotField numFmtId="2" showAll="0"/>
    <pivotField showAll="0"/>
    <pivotField numFmtId="2" showAll="0"/>
  </pivotFields>
  <rowFields count="1">
    <field x="3"/>
  </rowFields>
  <rowItems count="8">
    <i>
      <x v="3"/>
    </i>
    <i>
      <x/>
    </i>
    <i>
      <x v="6"/>
    </i>
    <i>
      <x v="5"/>
    </i>
    <i>
      <x v="1"/>
    </i>
    <i>
      <x v="4"/>
    </i>
    <i>
      <x v="2"/>
    </i>
    <i t="grand">
      <x/>
    </i>
  </rowItems>
  <colItems count="1">
    <i/>
  </colItems>
  <dataFields count="1">
    <dataField name="Sum of Yield (Kg/Ha)" fld="9" baseField="0" baseItem="0" numFmtId="2"/>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127464C-D4AD-4621-8033-A9D604FC501B}"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62:E67" firstHeaderRow="1" firstDataRow="1" firstDataCol="1"/>
  <pivotFields count="18">
    <pivotField showAll="0"/>
    <pivotField numFmtId="14" showAll="0"/>
    <pivotField showAll="0"/>
    <pivotField showAll="0"/>
    <pivotField showAll="0"/>
    <pivotField showAll="0"/>
    <pivotField showAll="0"/>
    <pivotField dataField="1" numFmtId="2" showAll="0"/>
    <pivotField numFmtId="2" showAll="0"/>
    <pivotField numFmtId="2" showAll="0"/>
    <pivotField axis="axisRow" showAll="0">
      <items count="5">
        <item x="3"/>
        <item x="0"/>
        <item x="1"/>
        <item x="2"/>
        <item t="default"/>
      </items>
    </pivotField>
    <pivotField showAll="0"/>
    <pivotField numFmtId="2" showAll="0"/>
    <pivotField numFmtId="2" showAll="0"/>
    <pivotField showAll="0"/>
    <pivotField numFmtId="2" showAll="0"/>
    <pivotField showAll="0"/>
    <pivotField numFmtId="2" showAll="0"/>
  </pivotFields>
  <rowFields count="1">
    <field x="10"/>
  </rowFields>
  <rowItems count="5">
    <i>
      <x/>
    </i>
    <i>
      <x v="1"/>
    </i>
    <i>
      <x v="2"/>
    </i>
    <i>
      <x v="3"/>
    </i>
    <i t="grand">
      <x/>
    </i>
  </rowItems>
  <colItems count="1">
    <i/>
  </colItems>
  <dataFields count="1">
    <dataField name="Sum of Area (Hectares)" fld="7" baseField="0" baseItem="0" numFmtId="2"/>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18A1322-871B-4DE3-9995-EE413CAB2B1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503" firstHeaderRow="1" firstDataRow="1" firstDataCol="1"/>
  <pivotFields count="18">
    <pivotField showAll="0"/>
    <pivotField numFmtId="14" showAll="0"/>
    <pivotField showAll="0"/>
    <pivotField showAll="0"/>
    <pivotField showAll="0"/>
    <pivotField showAll="0"/>
    <pivotField showAll="0"/>
    <pivotField numFmtId="2" showAll="0"/>
    <pivotField numFmtId="2" showAll="0"/>
    <pivotField dataField="1" numFmtId="2" showAll="0"/>
    <pivotField showAll="0"/>
    <pivotField showAll="0"/>
    <pivotField numFmtId="2" showAll="0"/>
    <pivotField axis="axisRow" numFmtId="2" showAll="0">
      <items count="500">
        <item x="238"/>
        <item x="18"/>
        <item x="294"/>
        <item x="144"/>
        <item x="376"/>
        <item x="470"/>
        <item x="327"/>
        <item x="55"/>
        <item x="160"/>
        <item x="177"/>
        <item x="183"/>
        <item x="410"/>
        <item x="291"/>
        <item x="102"/>
        <item x="290"/>
        <item x="471"/>
        <item x="251"/>
        <item x="391"/>
        <item x="421"/>
        <item x="341"/>
        <item x="496"/>
        <item x="167"/>
        <item x="3"/>
        <item x="302"/>
        <item x="490"/>
        <item x="315"/>
        <item x="407"/>
        <item x="286"/>
        <item x="19"/>
        <item x="157"/>
        <item x="409"/>
        <item x="480"/>
        <item x="228"/>
        <item x="123"/>
        <item x="435"/>
        <item x="20"/>
        <item x="450"/>
        <item x="145"/>
        <item x="241"/>
        <item x="245"/>
        <item x="235"/>
        <item x="429"/>
        <item x="221"/>
        <item x="239"/>
        <item x="85"/>
        <item x="256"/>
        <item x="141"/>
        <item x="475"/>
        <item x="483"/>
        <item x="95"/>
        <item x="344"/>
        <item x="305"/>
        <item x="30"/>
        <item x="83"/>
        <item x="439"/>
        <item x="232"/>
        <item x="303"/>
        <item x="363"/>
        <item x="37"/>
        <item x="424"/>
        <item x="275"/>
        <item x="267"/>
        <item x="404"/>
        <item x="25"/>
        <item x="132"/>
        <item x="418"/>
        <item x="414"/>
        <item x="225"/>
        <item x="161"/>
        <item x="129"/>
        <item x="448"/>
        <item x="253"/>
        <item x="269"/>
        <item x="147"/>
        <item x="165"/>
        <item x="224"/>
        <item x="254"/>
        <item x="489"/>
        <item x="313"/>
        <item x="406"/>
        <item x="194"/>
        <item x="425"/>
        <item x="365"/>
        <item x="426"/>
        <item x="131"/>
        <item x="388"/>
        <item x="457"/>
        <item x="33"/>
        <item x="436"/>
        <item x="210"/>
        <item x="333"/>
        <item x="285"/>
        <item x="493"/>
        <item x="21"/>
        <item x="323"/>
        <item x="360"/>
        <item x="188"/>
        <item x="434"/>
        <item x="242"/>
        <item x="481"/>
        <item x="408"/>
        <item x="45"/>
        <item x="378"/>
        <item x="392"/>
        <item x="319"/>
        <item x="35"/>
        <item x="272"/>
        <item x="358"/>
        <item x="417"/>
        <item x="394"/>
        <item x="82"/>
        <item x="412"/>
        <item x="208"/>
        <item x="115"/>
        <item x="11"/>
        <item x="385"/>
        <item x="170"/>
        <item x="137"/>
        <item x="175"/>
        <item x="43"/>
        <item x="364"/>
        <item x="58"/>
        <item x="474"/>
        <item x="399"/>
        <item x="257"/>
        <item x="405"/>
        <item x="212"/>
        <item x="460"/>
        <item x="96"/>
        <item x="67"/>
        <item x="473"/>
        <item x="495"/>
        <item x="465"/>
        <item x="456"/>
        <item x="369"/>
        <item x="39"/>
        <item x="120"/>
        <item x="100"/>
        <item x="403"/>
        <item x="197"/>
        <item x="479"/>
        <item x="148"/>
        <item x="220"/>
        <item x="440"/>
        <item x="416"/>
        <item x="125"/>
        <item x="66"/>
        <item x="445"/>
        <item x="64"/>
        <item x="135"/>
        <item x="402"/>
        <item x="216"/>
        <item x="423"/>
        <item x="50"/>
        <item x="190"/>
        <item x="271"/>
        <item x="126"/>
        <item x="86"/>
        <item x="80"/>
        <item x="146"/>
        <item x="203"/>
        <item x="204"/>
        <item x="320"/>
        <item x="44"/>
        <item x="193"/>
        <item x="162"/>
        <item x="54"/>
        <item x="195"/>
        <item x="48"/>
        <item x="331"/>
        <item x="179"/>
        <item x="348"/>
        <item x="278"/>
        <item x="338"/>
        <item x="180"/>
        <item x="196"/>
        <item x="57"/>
        <item x="178"/>
        <item x="413"/>
        <item x="36"/>
        <item x="309"/>
        <item x="41"/>
        <item x="202"/>
        <item x="169"/>
        <item x="143"/>
        <item x="420"/>
        <item x="81"/>
        <item x="246"/>
        <item x="158"/>
        <item x="263"/>
        <item x="297"/>
        <item x="477"/>
        <item x="51"/>
        <item x="94"/>
        <item x="28"/>
        <item x="307"/>
        <item x="79"/>
        <item x="140"/>
        <item x="139"/>
        <item x="281"/>
        <item x="381"/>
        <item x="112"/>
        <item x="76"/>
        <item x="173"/>
        <item x="262"/>
        <item x="346"/>
        <item x="74"/>
        <item x="9"/>
        <item x="230"/>
        <item x="387"/>
        <item x="264"/>
        <item x="466"/>
        <item x="34"/>
        <item x="128"/>
        <item x="69"/>
        <item x="389"/>
        <item x="459"/>
        <item x="295"/>
        <item x="63"/>
        <item x="234"/>
        <item x="156"/>
        <item x="15"/>
        <item x="174"/>
        <item x="93"/>
        <item x="186"/>
        <item x="287"/>
        <item x="449"/>
        <item x="90"/>
        <item x="308"/>
        <item x="336"/>
        <item x="458"/>
        <item x="299"/>
        <item x="258"/>
        <item x="427"/>
        <item x="65"/>
        <item x="247"/>
        <item x="61"/>
        <item x="118"/>
        <item x="335"/>
        <item x="107"/>
        <item x="89"/>
        <item x="166"/>
        <item x="277"/>
        <item x="280"/>
        <item x="13"/>
        <item x="442"/>
        <item x="122"/>
        <item x="97"/>
        <item x="52"/>
        <item x="345"/>
        <item x="152"/>
        <item x="380"/>
        <item x="229"/>
        <item x="462"/>
        <item x="40"/>
        <item x="159"/>
        <item x="334"/>
        <item x="310"/>
        <item x="38"/>
        <item x="198"/>
        <item x="397"/>
        <item x="268"/>
        <item x="428"/>
        <item x="356"/>
        <item x="355"/>
        <item x="27"/>
        <item x="368"/>
        <item x="314"/>
        <item x="304"/>
        <item x="342"/>
        <item x="105"/>
        <item x="415"/>
        <item x="47"/>
        <item x="240"/>
        <item x="318"/>
        <item x="324"/>
        <item x="121"/>
        <item x="46"/>
        <item x="31"/>
        <item x="454"/>
        <item x="317"/>
        <item x="469"/>
        <item x="492"/>
        <item x="91"/>
        <item x="1"/>
        <item x="265"/>
        <item x="106"/>
        <item x="237"/>
        <item x="279"/>
        <item x="8"/>
        <item x="87"/>
        <item x="452"/>
        <item x="446"/>
        <item x="252"/>
        <item x="176"/>
        <item x="494"/>
        <item x="2"/>
        <item x="24"/>
        <item x="371"/>
        <item x="226"/>
        <item x="293"/>
        <item x="214"/>
        <item x="207"/>
        <item x="151"/>
        <item x="455"/>
        <item x="349"/>
        <item x="98"/>
        <item x="373"/>
        <item x="325"/>
        <item x="191"/>
        <item x="205"/>
        <item x="433"/>
        <item x="478"/>
        <item x="284"/>
        <item x="375"/>
        <item x="75"/>
        <item x="384"/>
        <item x="163"/>
        <item x="476"/>
        <item x="453"/>
        <item x="201"/>
        <item x="311"/>
        <item x="213"/>
        <item x="270"/>
        <item x="464"/>
        <item x="199"/>
        <item x="292"/>
        <item x="372"/>
        <item x="374"/>
        <item x="32"/>
        <item x="300"/>
        <item x="4"/>
        <item x="330"/>
        <item x="282"/>
        <item x="171"/>
        <item x="62"/>
        <item x="491"/>
        <item x="78"/>
        <item x="99"/>
        <item x="130"/>
        <item x="150"/>
        <item x="390"/>
        <item x="124"/>
        <item x="56"/>
        <item x="289"/>
        <item x="432"/>
        <item x="276"/>
        <item x="209"/>
        <item x="431"/>
        <item x="155"/>
        <item x="395"/>
        <item x="215"/>
        <item x="153"/>
        <item x="59"/>
        <item x="231"/>
        <item x="111"/>
        <item x="243"/>
        <item x="411"/>
        <item x="487"/>
        <item x="340"/>
        <item x="181"/>
        <item x="138"/>
        <item x="261"/>
        <item x="110"/>
        <item x="321"/>
        <item x="84"/>
        <item x="127"/>
        <item x="16"/>
        <item x="461"/>
        <item x="172"/>
        <item x="441"/>
        <item x="332"/>
        <item x="255"/>
        <item x="366"/>
        <item x="189"/>
        <item x="306"/>
        <item x="53"/>
        <item x="70"/>
        <item x="103"/>
        <item x="73"/>
        <item x="498"/>
        <item x="430"/>
        <item x="217"/>
        <item x="362"/>
        <item x="206"/>
        <item x="497"/>
        <item x="447"/>
        <item x="357"/>
        <item x="296"/>
        <item x="443"/>
        <item x="273"/>
        <item x="10"/>
        <item x="117"/>
        <item x="361"/>
        <item x="377"/>
        <item x="383"/>
        <item x="114"/>
        <item x="223"/>
        <item x="236"/>
        <item x="350"/>
        <item x="354"/>
        <item x="248"/>
        <item x="149"/>
        <item x="353"/>
        <item x="113"/>
        <item x="88"/>
        <item x="68"/>
        <item x="200"/>
        <item x="393"/>
        <item x="218"/>
        <item x="211"/>
        <item x="164"/>
        <item x="244"/>
        <item x="486"/>
        <item x="249"/>
        <item x="108"/>
        <item x="451"/>
        <item x="437"/>
        <item x="116"/>
        <item x="401"/>
        <item x="104"/>
        <item x="343"/>
        <item x="326"/>
        <item x="400"/>
        <item x="49"/>
        <item x="301"/>
        <item x="60"/>
        <item x="77"/>
        <item x="26"/>
        <item x="42"/>
        <item x="182"/>
        <item x="5"/>
        <item x="259"/>
        <item x="133"/>
        <item x="72"/>
        <item x="379"/>
        <item x="266"/>
        <item x="367"/>
        <item x="233"/>
        <item x="17"/>
        <item x="101"/>
        <item x="488"/>
        <item x="142"/>
        <item x="29"/>
        <item x="12"/>
        <item x="274"/>
        <item x="288"/>
        <item x="339"/>
        <item x="438"/>
        <item x="92"/>
        <item x="168"/>
        <item x="0"/>
        <item x="312"/>
        <item x="219"/>
        <item x="382"/>
        <item x="283"/>
        <item x="472"/>
        <item x="187"/>
        <item x="396"/>
        <item x="422"/>
        <item x="14"/>
        <item x="328"/>
        <item x="184"/>
        <item x="347"/>
        <item x="71"/>
        <item x="136"/>
        <item x="298"/>
        <item x="6"/>
        <item x="119"/>
        <item x="337"/>
        <item x="109"/>
        <item x="482"/>
        <item x="485"/>
        <item x="370"/>
        <item x="352"/>
        <item x="359"/>
        <item x="329"/>
        <item x="192"/>
        <item x="250"/>
        <item x="322"/>
        <item x="467"/>
        <item x="154"/>
        <item x="419"/>
        <item x="444"/>
        <item x="185"/>
        <item x="463"/>
        <item x="468"/>
        <item x="316"/>
        <item x="351"/>
        <item x="484"/>
        <item x="227"/>
        <item x="134"/>
        <item x="398"/>
        <item x="260"/>
        <item x="23"/>
        <item x="222"/>
        <item x="386"/>
        <item x="7"/>
        <item x="22"/>
        <item t="default"/>
      </items>
    </pivotField>
    <pivotField showAll="0"/>
    <pivotField numFmtId="2" showAll="0"/>
    <pivotField showAll="0"/>
    <pivotField numFmtId="2" showAll="0"/>
  </pivotFields>
  <rowFields count="1">
    <field x="13"/>
  </rowFields>
  <rowItems count="50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t="grand">
      <x/>
    </i>
  </rowItems>
  <colItems count="1">
    <i/>
  </colItems>
  <dataFields count="1">
    <dataField name="Average of Yield (Kg/Ha)" fld="9" subtotal="average" baseField="13"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528E653-B1D3-4094-AAD6-4F93A9460AC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1" firstHeaderRow="1" firstDataRow="1" firstDataCol="1"/>
  <pivotFields count="18">
    <pivotField showAll="0"/>
    <pivotField numFmtId="14" showAll="0"/>
    <pivotField showAll="0"/>
    <pivotField axis="axisRow" showAll="0">
      <items count="8">
        <item x="5"/>
        <item x="6"/>
        <item x="3"/>
        <item x="2"/>
        <item x="1"/>
        <item x="0"/>
        <item x="4"/>
        <item t="default"/>
      </items>
    </pivotField>
    <pivotField showAll="0">
      <items count="22">
        <item x="14"/>
        <item x="3"/>
        <item x="15"/>
        <item x="9"/>
        <item x="18"/>
        <item x="8"/>
        <item x="17"/>
        <item x="20"/>
        <item x="16"/>
        <item x="12"/>
        <item x="11"/>
        <item x="4"/>
        <item x="0"/>
        <item x="1"/>
        <item x="19"/>
        <item x="5"/>
        <item x="13"/>
        <item x="10"/>
        <item x="7"/>
        <item x="2"/>
        <item x="6"/>
        <item t="default"/>
      </items>
    </pivotField>
    <pivotField showAll="0"/>
    <pivotField showAll="0">
      <items count="7">
        <item x="2"/>
        <item x="0"/>
        <item x="1"/>
        <item x="4"/>
        <item x="3"/>
        <item x="5"/>
        <item t="default"/>
      </items>
    </pivotField>
    <pivotField numFmtId="2" showAll="0"/>
    <pivotField numFmtId="2" showAll="0"/>
    <pivotField dataField="1" numFmtId="2" showAll="0"/>
    <pivotField showAll="0">
      <items count="5">
        <item x="3"/>
        <item x="0"/>
        <item x="1"/>
        <item x="2"/>
        <item t="default"/>
      </items>
    </pivotField>
    <pivotField showAll="0">
      <items count="6">
        <item x="1"/>
        <item x="2"/>
        <item x="4"/>
        <item x="0"/>
        <item x="3"/>
        <item t="default"/>
      </items>
    </pivotField>
    <pivotField numFmtId="2" showAll="0"/>
    <pivotField numFmtId="2" showAll="0"/>
    <pivotField showAll="0"/>
    <pivotField numFmtId="2" showAll="0"/>
    <pivotField showAll="0">
      <items count="146">
        <item x="0"/>
        <item x="61"/>
        <item x="126"/>
        <item x="82"/>
        <item x="21"/>
        <item x="143"/>
        <item x="80"/>
        <item x="50"/>
        <item x="94"/>
        <item x="100"/>
        <item x="88"/>
        <item x="62"/>
        <item x="8"/>
        <item x="85"/>
        <item x="6"/>
        <item x="89"/>
        <item x="114"/>
        <item x="64"/>
        <item x="73"/>
        <item x="104"/>
        <item x="26"/>
        <item x="46"/>
        <item x="101"/>
        <item x="7"/>
        <item x="87"/>
        <item x="109"/>
        <item x="119"/>
        <item x="2"/>
        <item x="5"/>
        <item x="113"/>
        <item x="20"/>
        <item x="15"/>
        <item x="144"/>
        <item x="1"/>
        <item x="67"/>
        <item x="111"/>
        <item x="69"/>
        <item x="117"/>
        <item x="102"/>
        <item x="32"/>
        <item x="127"/>
        <item x="112"/>
        <item x="44"/>
        <item x="35"/>
        <item x="37"/>
        <item x="31"/>
        <item x="58"/>
        <item x="65"/>
        <item x="142"/>
        <item x="68"/>
        <item x="133"/>
        <item x="122"/>
        <item x="39"/>
        <item x="18"/>
        <item x="96"/>
        <item x="129"/>
        <item x="48"/>
        <item x="93"/>
        <item x="84"/>
        <item x="134"/>
        <item x="23"/>
        <item x="75"/>
        <item x="19"/>
        <item x="120"/>
        <item x="137"/>
        <item x="136"/>
        <item x="107"/>
        <item x="105"/>
        <item x="99"/>
        <item x="30"/>
        <item x="128"/>
        <item x="118"/>
        <item x="123"/>
        <item x="14"/>
        <item x="110"/>
        <item x="4"/>
        <item x="76"/>
        <item x="27"/>
        <item x="17"/>
        <item x="121"/>
        <item x="10"/>
        <item x="25"/>
        <item x="57"/>
        <item x="103"/>
        <item x="131"/>
        <item x="54"/>
        <item x="97"/>
        <item x="83"/>
        <item x="108"/>
        <item x="47"/>
        <item x="59"/>
        <item x="92"/>
        <item x="132"/>
        <item x="13"/>
        <item x="63"/>
        <item x="22"/>
        <item x="9"/>
        <item x="3"/>
        <item x="29"/>
        <item x="95"/>
        <item x="130"/>
        <item x="90"/>
        <item x="38"/>
        <item x="51"/>
        <item x="141"/>
        <item x="49"/>
        <item x="139"/>
        <item x="77"/>
        <item x="79"/>
        <item x="52"/>
        <item x="53"/>
        <item x="78"/>
        <item x="86"/>
        <item x="56"/>
        <item x="28"/>
        <item x="81"/>
        <item x="138"/>
        <item x="66"/>
        <item x="41"/>
        <item x="98"/>
        <item x="43"/>
        <item x="42"/>
        <item x="34"/>
        <item x="16"/>
        <item x="91"/>
        <item x="12"/>
        <item x="40"/>
        <item x="135"/>
        <item x="116"/>
        <item x="36"/>
        <item x="74"/>
        <item x="71"/>
        <item x="55"/>
        <item x="45"/>
        <item x="72"/>
        <item x="11"/>
        <item x="24"/>
        <item x="70"/>
        <item x="125"/>
        <item x="140"/>
        <item x="106"/>
        <item x="115"/>
        <item x="60"/>
        <item x="124"/>
        <item x="33"/>
        <item t="default"/>
      </items>
    </pivotField>
    <pivotField numFmtId="2" showAll="0"/>
  </pivotFields>
  <rowFields count="1">
    <field x="3"/>
  </rowFields>
  <rowItems count="8">
    <i>
      <x/>
    </i>
    <i>
      <x v="1"/>
    </i>
    <i>
      <x v="2"/>
    </i>
    <i>
      <x v="3"/>
    </i>
    <i>
      <x v="4"/>
    </i>
    <i>
      <x v="5"/>
    </i>
    <i>
      <x v="6"/>
    </i>
    <i t="grand">
      <x/>
    </i>
  </rowItems>
  <colItems count="1">
    <i/>
  </colItems>
  <dataFields count="1">
    <dataField name="Sum of Yield (Kg/Ha)" fld="9" baseField="0" baseItem="0" numFmtId="2"/>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C8D3017-2878-49F2-84C4-51BAC53EE52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T446" firstHeaderRow="1" firstDataRow="2" firstDataCol="1"/>
  <pivotFields count="18">
    <pivotField showAll="0"/>
    <pivotField numFmtId="14" showAll="0"/>
    <pivotField showAll="0"/>
    <pivotField showAll="0"/>
    <pivotField showAll="0"/>
    <pivotField showAll="0"/>
    <pivotField axis="axisCol" showAll="0">
      <items count="7">
        <item x="2"/>
        <item x="0"/>
        <item x="1"/>
        <item x="4"/>
        <item x="3"/>
        <item x="5"/>
        <item t="default"/>
      </items>
    </pivotField>
    <pivotField numFmtId="2" showAll="0"/>
    <pivotField numFmtId="2" showAll="0"/>
    <pivotField dataField="1" numFmtId="2" showAll="0"/>
    <pivotField showAll="0"/>
    <pivotField showAll="0"/>
    <pivotField numFmtId="2" showAll="0"/>
    <pivotField numFmtId="2" showAll="0"/>
    <pivotField showAll="0"/>
    <pivotField axis="axisRow" numFmtId="2" showAll="0">
      <items count="442">
        <item x="206"/>
        <item x="285"/>
        <item x="9"/>
        <item x="149"/>
        <item x="23"/>
        <item x="277"/>
        <item x="357"/>
        <item x="54"/>
        <item x="110"/>
        <item x="244"/>
        <item x="353"/>
        <item x="29"/>
        <item x="258"/>
        <item x="437"/>
        <item x="269"/>
        <item x="310"/>
        <item x="309"/>
        <item x="124"/>
        <item x="31"/>
        <item x="300"/>
        <item x="169"/>
        <item x="163"/>
        <item x="382"/>
        <item x="254"/>
        <item x="330"/>
        <item x="281"/>
        <item x="418"/>
        <item x="215"/>
        <item x="234"/>
        <item x="60"/>
        <item x="352"/>
        <item x="19"/>
        <item x="40"/>
        <item x="391"/>
        <item x="172"/>
        <item x="421"/>
        <item x="14"/>
        <item x="59"/>
        <item x="294"/>
        <item x="22"/>
        <item x="250"/>
        <item x="405"/>
        <item x="205"/>
        <item x="417"/>
        <item x="17"/>
        <item x="303"/>
        <item x="286"/>
        <item x="148"/>
        <item x="194"/>
        <item x="64"/>
        <item x="220"/>
        <item x="229"/>
        <item x="117"/>
        <item x="287"/>
        <item x="240"/>
        <item x="270"/>
        <item x="79"/>
        <item x="431"/>
        <item x="226"/>
        <item x="346"/>
        <item x="114"/>
        <item x="140"/>
        <item x="241"/>
        <item x="301"/>
        <item x="6"/>
        <item x="35"/>
        <item x="365"/>
        <item x="56"/>
        <item x="374"/>
        <item x="214"/>
        <item x="355"/>
        <item x="161"/>
        <item x="58"/>
        <item x="25"/>
        <item x="216"/>
        <item x="201"/>
        <item x="272"/>
        <item x="184"/>
        <item x="101"/>
        <item x="434"/>
        <item x="30"/>
        <item x="195"/>
        <item x="171"/>
        <item x="151"/>
        <item x="166"/>
        <item x="358"/>
        <item x="15"/>
        <item x="53"/>
        <item x="230"/>
        <item x="24"/>
        <item x="134"/>
        <item x="406"/>
        <item x="340"/>
        <item x="43"/>
        <item x="50"/>
        <item x="213"/>
        <item x="204"/>
        <item x="265"/>
        <item x="248"/>
        <item x="5"/>
        <item x="435"/>
        <item x="370"/>
        <item x="416"/>
        <item x="408"/>
        <item x="102"/>
        <item x="21"/>
        <item x="257"/>
        <item x="428"/>
        <item x="36"/>
        <item x="162"/>
        <item x="371"/>
        <item x="13"/>
        <item x="16"/>
        <item x="362"/>
        <item x="75"/>
        <item x="400"/>
        <item x="276"/>
        <item x="18"/>
        <item x="28"/>
        <item x="49"/>
        <item x="274"/>
        <item x="339"/>
        <item x="98"/>
        <item x="268"/>
        <item x="77"/>
        <item x="372"/>
        <item x="401"/>
        <item x="316"/>
        <item x="291"/>
        <item x="414"/>
        <item x="147"/>
        <item x="118"/>
        <item x="198"/>
        <item x="324"/>
        <item x="57"/>
        <item x="200"/>
        <item x="261"/>
        <item x="264"/>
        <item x="164"/>
        <item x="109"/>
        <item x="394"/>
        <item x="413"/>
        <item x="327"/>
        <item x="146"/>
        <item x="395"/>
        <item x="367"/>
        <item x="88"/>
        <item x="251"/>
        <item x="221"/>
        <item x="384"/>
        <item x="63"/>
        <item x="217"/>
        <item x="39"/>
        <item x="132"/>
        <item x="92"/>
        <item x="68"/>
        <item x="271"/>
        <item x="336"/>
        <item x="69"/>
        <item x="47"/>
        <item x="323"/>
        <item x="243"/>
        <item x="145"/>
        <item x="375"/>
        <item x="182"/>
        <item x="350"/>
        <item x="425"/>
        <item x="95"/>
        <item x="218"/>
        <item x="141"/>
        <item x="126"/>
        <item x="393"/>
        <item x="354"/>
        <item x="72"/>
        <item x="91"/>
        <item x="231"/>
        <item x="70"/>
        <item x="127"/>
        <item x="228"/>
        <item x="46"/>
        <item x="335"/>
        <item x="407"/>
        <item x="107"/>
        <item x="326"/>
        <item x="273"/>
        <item x="97"/>
        <item x="345"/>
        <item x="90"/>
        <item x="385"/>
        <item x="123"/>
        <item x="403"/>
        <item x="342"/>
        <item x="100"/>
        <item x="61"/>
        <item x="186"/>
        <item x="279"/>
        <item x="103"/>
        <item x="115"/>
        <item x="130"/>
        <item x="138"/>
        <item x="89"/>
        <item x="203"/>
        <item x="76"/>
        <item x="260"/>
        <item x="331"/>
        <item x="302"/>
        <item x="305"/>
        <item x="227"/>
        <item x="412"/>
        <item x="135"/>
        <item x="80"/>
        <item x="55"/>
        <item x="332"/>
        <item x="307"/>
        <item x="259"/>
        <item x="177"/>
        <item x="232"/>
        <item x="233"/>
        <item x="366"/>
        <item x="356"/>
        <item x="99"/>
        <item x="133"/>
        <item x="170"/>
        <item x="179"/>
        <item x="249"/>
        <item x="290"/>
        <item x="388"/>
        <item x="104"/>
        <item x="7"/>
        <item x="293"/>
        <item x="34"/>
        <item x="396"/>
        <item x="321"/>
        <item x="280"/>
        <item x="192"/>
        <item x="315"/>
        <item x="369"/>
        <item x="237"/>
        <item x="8"/>
        <item x="74"/>
        <item x="402"/>
        <item x="81"/>
        <item x="41"/>
        <item x="424"/>
        <item x="397"/>
        <item x="85"/>
        <item x="282"/>
        <item x="173"/>
        <item x="66"/>
        <item x="26"/>
        <item x="196"/>
        <item x="404"/>
        <item x="157"/>
        <item x="175"/>
        <item x="399"/>
        <item x="143"/>
        <item x="62"/>
        <item x="411"/>
        <item x="142"/>
        <item x="105"/>
        <item x="351"/>
        <item x="252"/>
        <item x="381"/>
        <item x="0"/>
        <item x="313"/>
        <item x="377"/>
        <item x="429"/>
        <item x="183"/>
        <item x="344"/>
        <item x="253"/>
        <item x="4"/>
        <item x="129"/>
        <item x="320"/>
        <item x="209"/>
        <item x="82"/>
        <item x="32"/>
        <item x="78"/>
        <item x="398"/>
        <item x="338"/>
        <item x="120"/>
        <item x="193"/>
        <item x="208"/>
        <item x="427"/>
        <item x="210"/>
        <item x="165"/>
        <item x="168"/>
        <item x="150"/>
        <item x="311"/>
        <item x="84"/>
        <item x="312"/>
        <item x="225"/>
        <item x="295"/>
        <item x="423"/>
        <item x="349"/>
        <item x="322"/>
        <item x="337"/>
        <item x="20"/>
        <item x="33"/>
        <item x="125"/>
        <item x="325"/>
        <item x="292"/>
        <item x="373"/>
        <item x="317"/>
        <item x="191"/>
        <item x="420"/>
        <item x="432"/>
        <item x="242"/>
        <item x="207"/>
        <item x="116"/>
        <item x="158"/>
        <item x="190"/>
        <item x="176"/>
        <item x="245"/>
        <item x="392"/>
        <item x="379"/>
        <item x="48"/>
        <item x="289"/>
        <item x="181"/>
        <item x="422"/>
        <item x="185"/>
        <item x="112"/>
        <item x="71"/>
        <item x="306"/>
        <item x="160"/>
        <item x="2"/>
        <item x="119"/>
        <item x="439"/>
        <item x="318"/>
        <item x="263"/>
        <item x="38"/>
        <item x="283"/>
        <item x="211"/>
        <item x="178"/>
        <item x="139"/>
        <item x="51"/>
        <item x="1"/>
        <item x="65"/>
        <item x="202"/>
        <item x="155"/>
        <item x="430"/>
        <item x="45"/>
        <item x="111"/>
        <item x="3"/>
        <item x="238"/>
        <item x="44"/>
        <item x="180"/>
        <item x="86"/>
        <item x="189"/>
        <item x="153"/>
        <item x="239"/>
        <item x="128"/>
        <item x="122"/>
        <item x="37"/>
        <item x="278"/>
        <item x="419"/>
        <item x="319"/>
        <item x="334"/>
        <item x="386"/>
        <item x="415"/>
        <item x="136"/>
        <item x="343"/>
        <item x="348"/>
        <item x="363"/>
        <item x="255"/>
        <item x="199"/>
        <item x="246"/>
        <item x="378"/>
        <item x="131"/>
        <item x="93"/>
        <item x="328"/>
        <item x="390"/>
        <item x="256"/>
        <item x="409"/>
        <item x="235"/>
        <item x="308"/>
        <item x="223"/>
        <item x="156"/>
        <item x="361"/>
        <item x="87"/>
        <item x="341"/>
        <item x="376"/>
        <item x="94"/>
        <item x="159"/>
        <item x="144"/>
        <item x="108"/>
        <item x="314"/>
        <item x="359"/>
        <item x="152"/>
        <item x="436"/>
        <item x="247"/>
        <item x="426"/>
        <item x="224"/>
        <item x="262"/>
        <item x="113"/>
        <item x="296"/>
        <item x="438"/>
        <item x="275"/>
        <item x="299"/>
        <item x="297"/>
        <item x="288"/>
        <item x="174"/>
        <item x="219"/>
        <item x="96"/>
        <item x="389"/>
        <item x="368"/>
        <item x="364"/>
        <item x="383"/>
        <item x="212"/>
        <item x="154"/>
        <item x="188"/>
        <item x="266"/>
        <item x="83"/>
        <item x="11"/>
        <item x="236"/>
        <item x="433"/>
        <item x="284"/>
        <item x="10"/>
        <item x="329"/>
        <item x="304"/>
        <item x="380"/>
        <item x="167"/>
        <item x="197"/>
        <item x="12"/>
        <item x="137"/>
        <item x="187"/>
        <item x="298"/>
        <item x="347"/>
        <item x="27"/>
        <item x="410"/>
        <item x="440"/>
        <item x="73"/>
        <item x="333"/>
        <item x="67"/>
        <item x="42"/>
        <item x="106"/>
        <item x="267"/>
        <item x="121"/>
        <item x="360"/>
        <item x="52"/>
        <item x="222"/>
        <item x="387"/>
        <item t="default"/>
      </items>
    </pivotField>
    <pivotField showAll="0"/>
    <pivotField numFmtId="2" showAll="0"/>
  </pivotFields>
  <rowFields count="1">
    <field x="15"/>
  </rowFields>
  <rowItems count="4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t="grand">
      <x/>
    </i>
  </rowItems>
  <colFields count="1">
    <field x="6"/>
  </colFields>
  <colItems count="7">
    <i>
      <x/>
    </i>
    <i>
      <x v="1"/>
    </i>
    <i>
      <x v="2"/>
    </i>
    <i>
      <x v="3"/>
    </i>
    <i>
      <x v="4"/>
    </i>
    <i>
      <x v="5"/>
    </i>
    <i t="grand">
      <x/>
    </i>
  </colItems>
  <dataFields count="1">
    <dataField name="Average of Yield (Kg/Ha)" fld="9" subtotal="average" baseField="15"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ertilizer_Type" xr10:uid="{51C20B2B-DEA7-4467-B5CF-1F940C86E4D0}" sourceName="Fertilizer Type">
  <pivotTables>
    <pivotTable tabId="2" name="PivotTable1"/>
  </pivotTables>
  <data>
    <tabular pivotCacheId="1643525608">
      <items count="5">
        <i x="1" s="1"/>
        <i x="2" s="1"/>
        <i x="4"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F7B17B20-7073-4750-94BB-6A3BE8B61FDD}" sourceName="State">
  <pivotTables>
    <pivotTable tabId="2" name="PivotTable2"/>
  </pivotTables>
  <data>
    <tabular pivotCacheId="1643525608">
      <items count="7">
        <i x="5" s="1"/>
        <i x="6" s="1"/>
        <i x="3" s="1"/>
        <i x="2" s="1"/>
        <i x="1"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ertilizer_Type1" xr10:uid="{CCADD2AC-6CB4-4384-B9CA-6B469B11F0CE}" sourceName="Fertilizer Type">
  <pivotTables>
    <pivotTable tabId="2" name="PivotTable6"/>
  </pivotTables>
  <data>
    <tabular pivotCacheId="1643525608">
      <items count="5">
        <i x="1" s="1"/>
        <i x="2" s="1"/>
        <i x="4"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ct" xr10:uid="{6B53487C-0671-4A6F-994F-5A7B6C1E002B}" sourceName="District">
  <pivotTables>
    <pivotTable tabId="2" name="PivotTable1"/>
  </pivotTables>
  <data>
    <tabular pivotCacheId="1643525608">
      <items count="21">
        <i x="14" s="1"/>
        <i x="3" s="1"/>
        <i x="15" s="1"/>
        <i x="9" s="1"/>
        <i x="18" s="1"/>
        <i x="8" s="1"/>
        <i x="17" s="1"/>
        <i x="20" s="1"/>
        <i x="16" s="1"/>
        <i x="12" s="1"/>
        <i x="11" s="1"/>
        <i x="4" s="1"/>
        <i x="0" s="1"/>
        <i x="1" s="1"/>
        <i x="19" s="1"/>
        <i x="5" s="1"/>
        <i x="13" s="1"/>
        <i x="10" s="1"/>
        <i x="7" s="1"/>
        <i x="2" s="1"/>
        <i x="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rrigation_Type" xr10:uid="{7D43E492-4BC5-4DDF-96EE-56E59C81D06B}" sourceName="Irrigation Type">
  <pivotTables>
    <pivotTable tabId="2" name="PivotTable1"/>
  </pivotTables>
  <data>
    <tabular pivotCacheId="1643525608">
      <items count="4">
        <i x="3" s="1"/>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Month" xr10:uid="{8730B468-EA12-4A05-83CE-FCCBBC4D976A}" sourceName="Year-Month">
  <pivotTables>
    <pivotTable tabId="2" name="PivotTable1"/>
  </pivotTables>
  <data>
    <tabular pivotCacheId="1643525608">
      <items count="145">
        <i x="0" s="1"/>
        <i x="61" s="1"/>
        <i x="126" s="1"/>
        <i x="82" s="1"/>
        <i x="21" s="1"/>
        <i x="143" s="1"/>
        <i x="80" s="1"/>
        <i x="50" s="1"/>
        <i x="94" s="1"/>
        <i x="100" s="1"/>
        <i x="88" s="1"/>
        <i x="62" s="1"/>
        <i x="8" s="1"/>
        <i x="85" s="1"/>
        <i x="6" s="1"/>
        <i x="89" s="1"/>
        <i x="114" s="1"/>
        <i x="64" s="1"/>
        <i x="73" s="1"/>
        <i x="104" s="1"/>
        <i x="26" s="1"/>
        <i x="46" s="1"/>
        <i x="101" s="1"/>
        <i x="7" s="1"/>
        <i x="87" s="1"/>
        <i x="109" s="1"/>
        <i x="119" s="1"/>
        <i x="2" s="1"/>
        <i x="5" s="1"/>
        <i x="113" s="1"/>
        <i x="20" s="1"/>
        <i x="15" s="1"/>
        <i x="144" s="1"/>
        <i x="1" s="1"/>
        <i x="67" s="1"/>
        <i x="111" s="1"/>
        <i x="69" s="1"/>
        <i x="117" s="1"/>
        <i x="102" s="1"/>
        <i x="32" s="1"/>
        <i x="127" s="1"/>
        <i x="112" s="1"/>
        <i x="44" s="1"/>
        <i x="35" s="1"/>
        <i x="37" s="1"/>
        <i x="31" s="1"/>
        <i x="58" s="1"/>
        <i x="65" s="1"/>
        <i x="142" s="1"/>
        <i x="68" s="1"/>
        <i x="133" s="1"/>
        <i x="122" s="1"/>
        <i x="39" s="1"/>
        <i x="18" s="1"/>
        <i x="96" s="1"/>
        <i x="129" s="1"/>
        <i x="48" s="1"/>
        <i x="93" s="1"/>
        <i x="84" s="1"/>
        <i x="134" s="1"/>
        <i x="23" s="1"/>
        <i x="75" s="1"/>
        <i x="19" s="1"/>
        <i x="120" s="1"/>
        <i x="137" s="1"/>
        <i x="136" s="1"/>
        <i x="107" s="1"/>
        <i x="105" s="1"/>
        <i x="99" s="1"/>
        <i x="30" s="1"/>
        <i x="128" s="1"/>
        <i x="118" s="1"/>
        <i x="123" s="1"/>
        <i x="14" s="1"/>
        <i x="110" s="1"/>
        <i x="4" s="1"/>
        <i x="76" s="1"/>
        <i x="27" s="1"/>
        <i x="17" s="1"/>
        <i x="121" s="1"/>
        <i x="10" s="1"/>
        <i x="25" s="1"/>
        <i x="57" s="1"/>
        <i x="103" s="1"/>
        <i x="131" s="1"/>
        <i x="54" s="1"/>
        <i x="97" s="1"/>
        <i x="83" s="1"/>
        <i x="108" s="1"/>
        <i x="47" s="1"/>
        <i x="59" s="1"/>
        <i x="92" s="1"/>
        <i x="132" s="1"/>
        <i x="13" s="1"/>
        <i x="63" s="1"/>
        <i x="22" s="1"/>
        <i x="9" s="1"/>
        <i x="3" s="1"/>
        <i x="29" s="1"/>
        <i x="95" s="1"/>
        <i x="130" s="1"/>
        <i x="90" s="1"/>
        <i x="38" s="1"/>
        <i x="51" s="1"/>
        <i x="141" s="1"/>
        <i x="49" s="1"/>
        <i x="139" s="1"/>
        <i x="77" s="1"/>
        <i x="79" s="1"/>
        <i x="52" s="1"/>
        <i x="53" s="1"/>
        <i x="78" s="1"/>
        <i x="86" s="1"/>
        <i x="56" s="1"/>
        <i x="28" s="1"/>
        <i x="81" s="1"/>
        <i x="138" s="1"/>
        <i x="66" s="1"/>
        <i x="41" s="1"/>
        <i x="98" s="1"/>
        <i x="43" s="1"/>
        <i x="42" s="1"/>
        <i x="34" s="1"/>
        <i x="16" s="1"/>
        <i x="91" s="1"/>
        <i x="12" s="1"/>
        <i x="40" s="1"/>
        <i x="135" s="1"/>
        <i x="116" s="1"/>
        <i x="36" s="1"/>
        <i x="74" s="1"/>
        <i x="71" s="1"/>
        <i x="55" s="1"/>
        <i x="45" s="1"/>
        <i x="72" s="1"/>
        <i x="11" s="1"/>
        <i x="24" s="1"/>
        <i x="70" s="1"/>
        <i x="125" s="1"/>
        <i x="140" s="1"/>
        <i x="106" s="1"/>
        <i x="115" s="1"/>
        <i x="60" s="1"/>
        <i x="124" s="1"/>
        <i x="3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ertilizer Type" xr10:uid="{9A9386AC-DFA5-41D3-8354-57E4A32A15C6}" cache="Slicer_Fertilizer_Type" caption="Fertilizer Type" rowHeight="234950"/>
  <slicer name="State" xr10:uid="{63C98B90-6032-402A-80C9-739FD604948F}" cache="Slicer_State" caption="State" rowHeight="234950"/>
  <slicer name="Fertilizer Type 1" xr10:uid="{8C8D74EE-F0F3-47A0-B7AA-969EC4C909AB}" cache="Slicer_Fertilizer_Type1" caption="Fertilizer Type" rowHeight="234950"/>
  <slicer name="District" xr10:uid="{8E666FAA-B1D2-44D2-9338-95D686E35824}" cache="Slicer_District" caption="District" rowHeight="234950"/>
  <slicer name="Irrigation Type" xr10:uid="{954A78B6-FCAC-4B35-B422-74844CA23487}" cache="Slicer_Irrigation_Type" caption="Irrigation Type" rowHeight="234950"/>
  <slicer name="Year-Month" xr10:uid="{6AAF3479-AED6-43D3-B7CA-0B3CF1362035}" cache="Slicer_Year_Month" caption="Year-Month" startItem="28"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D772C-0C5F-4729-B89C-8E95F69DB5C9}">
  <dimension ref="A1:S501"/>
  <sheetViews>
    <sheetView topLeftCell="G1" workbookViewId="0">
      <selection activeCell="U15" sqref="U15"/>
    </sheetView>
  </sheetViews>
  <sheetFormatPr defaultRowHeight="14.4" x14ac:dyDescent="0.3"/>
  <cols>
    <col min="2" max="2" width="10.33203125" style="1" bestFit="1" customWidth="1"/>
    <col min="3" max="3" width="10.33203125" bestFit="1" customWidth="1"/>
    <col min="4" max="4" width="12" style="2" customWidth="1"/>
    <col min="5" max="5" width="10.5546875" style="2" customWidth="1"/>
    <col min="6" max="6" width="8.88671875" style="2"/>
    <col min="7" max="7" width="10.88671875" customWidth="1"/>
    <col min="8" max="8" width="13.33203125" style="3" customWidth="1"/>
    <col min="9" max="9" width="9.88671875" style="3" customWidth="1"/>
    <col min="10" max="10" width="11.109375" style="3" customWidth="1"/>
    <col min="11" max="11" width="8.44140625" style="1" customWidth="1"/>
    <col min="12" max="12" width="13" style="2" customWidth="1"/>
    <col min="13" max="13" width="16.21875" style="3" customWidth="1"/>
    <col min="14" max="14" width="11.77734375" style="3" customWidth="1"/>
    <col min="15" max="15" width="8.88671875" style="2"/>
    <col min="16" max="16" width="18.21875" style="3" customWidth="1"/>
    <col min="17" max="17" width="10.77734375" bestFit="1" customWidth="1"/>
    <col min="18" max="18" width="12.109375" style="3" bestFit="1" customWidth="1"/>
    <col min="19" max="19" width="10.109375" style="2" bestFit="1" customWidth="1"/>
  </cols>
  <sheetData>
    <row r="1" spans="1:19" x14ac:dyDescent="0.3">
      <c r="A1" t="s">
        <v>0</v>
      </c>
      <c r="B1" s="1" t="s">
        <v>1</v>
      </c>
      <c r="C1" t="s">
        <v>2</v>
      </c>
      <c r="D1" s="2" t="s">
        <v>3</v>
      </c>
      <c r="E1" s="2" t="s">
        <v>4</v>
      </c>
      <c r="F1" s="2" t="s">
        <v>5</v>
      </c>
      <c r="G1" t="s">
        <v>6</v>
      </c>
      <c r="H1" s="3" t="s">
        <v>7</v>
      </c>
      <c r="I1" s="3" t="s">
        <v>8</v>
      </c>
      <c r="J1" s="3" t="s">
        <v>9</v>
      </c>
      <c r="K1" s="1" t="s">
        <v>10</v>
      </c>
      <c r="L1" s="2" t="s">
        <v>11</v>
      </c>
      <c r="M1" s="3" t="s">
        <v>12</v>
      </c>
      <c r="N1" s="3" t="s">
        <v>13</v>
      </c>
      <c r="O1" s="2" t="s">
        <v>14</v>
      </c>
      <c r="P1" s="3" t="s">
        <v>15</v>
      </c>
      <c r="Q1" s="3" t="s">
        <v>567</v>
      </c>
      <c r="R1" s="3" t="s">
        <v>568</v>
      </c>
      <c r="S1" s="2" t="s">
        <v>724</v>
      </c>
    </row>
    <row r="2" spans="1:19" x14ac:dyDescent="0.3">
      <c r="A2" t="s">
        <v>16</v>
      </c>
      <c r="B2" s="1">
        <v>40271</v>
      </c>
      <c r="C2">
        <v>2010</v>
      </c>
      <c r="D2" s="2" t="s">
        <v>17</v>
      </c>
      <c r="E2" s="2" t="s">
        <v>18</v>
      </c>
      <c r="F2" s="2" t="s">
        <v>19</v>
      </c>
      <c r="G2" t="s">
        <v>20</v>
      </c>
      <c r="H2" s="3">
        <v>25.24</v>
      </c>
      <c r="I2" s="3">
        <v>46.37</v>
      </c>
      <c r="J2" s="3">
        <v>1837.23</v>
      </c>
      <c r="K2" s="1" t="s">
        <v>21</v>
      </c>
      <c r="L2" s="2" t="s">
        <v>22</v>
      </c>
      <c r="M2" s="3">
        <v>219.17</v>
      </c>
      <c r="N2" s="3">
        <v>1092.18</v>
      </c>
      <c r="O2" s="2" t="s">
        <v>23</v>
      </c>
      <c r="P2" s="3">
        <v>28.86</v>
      </c>
      <c r="Q2" t="str">
        <f>TEXT(B2,"yyyy-mm")</f>
        <v>2010-04</v>
      </c>
      <c r="R2" s="3">
        <f>J2/H2</f>
        <v>72.790412044374008</v>
      </c>
      <c r="S2" s="2" t="str">
        <f t="shared" ref="S2:S65" si="0">IF(R2&lt;=0, "Failure","Success")</f>
        <v>Success</v>
      </c>
    </row>
    <row r="3" spans="1:19" x14ac:dyDescent="0.3">
      <c r="A3" t="s">
        <v>24</v>
      </c>
      <c r="B3" s="1">
        <v>41375</v>
      </c>
      <c r="C3">
        <v>2013</v>
      </c>
      <c r="D3" s="2" t="s">
        <v>25</v>
      </c>
      <c r="E3" s="2" t="s">
        <v>26</v>
      </c>
      <c r="F3" s="2" t="s">
        <v>19</v>
      </c>
      <c r="G3" t="s">
        <v>27</v>
      </c>
      <c r="H3" s="3">
        <v>3.63</v>
      </c>
      <c r="I3" s="3">
        <v>7.96</v>
      </c>
      <c r="J3" s="3">
        <v>2193.0300000000002</v>
      </c>
      <c r="K3" s="1" t="s">
        <v>28</v>
      </c>
      <c r="L3" s="2" t="s">
        <v>29</v>
      </c>
      <c r="M3" s="3">
        <v>105.11</v>
      </c>
      <c r="N3" s="3">
        <v>789.27</v>
      </c>
      <c r="O3" s="2" t="s">
        <v>23</v>
      </c>
      <c r="P3" s="3">
        <v>31.38</v>
      </c>
      <c r="Q3" t="str">
        <f t="shared" ref="Q3:Q66" si="1">TEXT(B3,"yyyy-mm")</f>
        <v>2013-04</v>
      </c>
      <c r="R3" s="3">
        <f t="shared" ref="R3:R66" si="2">J3/H3</f>
        <v>604.14049586776866</v>
      </c>
      <c r="S3" s="2" t="str">
        <f t="shared" si="0"/>
        <v>Success</v>
      </c>
    </row>
    <row r="4" spans="1:19" x14ac:dyDescent="0.3">
      <c r="A4" t="s">
        <v>30</v>
      </c>
      <c r="B4" s="1">
        <v>41198</v>
      </c>
      <c r="C4">
        <v>2012</v>
      </c>
      <c r="D4" s="2" t="s">
        <v>31</v>
      </c>
      <c r="E4" s="2" t="s">
        <v>32</v>
      </c>
      <c r="F4" s="2" t="s">
        <v>33</v>
      </c>
      <c r="G4" t="s">
        <v>20</v>
      </c>
      <c r="H4" s="3">
        <v>11.12</v>
      </c>
      <c r="I4" s="3">
        <v>36.47</v>
      </c>
      <c r="J4" s="3">
        <v>3279.56</v>
      </c>
      <c r="K4" s="1" t="s">
        <v>34</v>
      </c>
      <c r="L4" s="2" t="s">
        <v>22</v>
      </c>
      <c r="M4" s="3">
        <v>261.87</v>
      </c>
      <c r="N4" s="3">
        <v>803.73</v>
      </c>
      <c r="O4" s="2" t="s">
        <v>23</v>
      </c>
      <c r="P4" s="3">
        <v>30.95</v>
      </c>
      <c r="Q4" t="str">
        <f t="shared" si="1"/>
        <v>2012-10</v>
      </c>
      <c r="R4" s="3">
        <f t="shared" si="2"/>
        <v>294.92446043165467</v>
      </c>
      <c r="S4" s="2" t="str">
        <f t="shared" si="0"/>
        <v>Success</v>
      </c>
    </row>
    <row r="5" spans="1:19" x14ac:dyDescent="0.3">
      <c r="A5" t="s">
        <v>35</v>
      </c>
      <c r="B5" s="1">
        <v>43425</v>
      </c>
      <c r="C5">
        <v>2018</v>
      </c>
      <c r="D5" s="2" t="s">
        <v>36</v>
      </c>
      <c r="E5" s="2" t="s">
        <v>37</v>
      </c>
      <c r="F5" s="2" t="s">
        <v>38</v>
      </c>
      <c r="G5" t="s">
        <v>39</v>
      </c>
      <c r="H5" s="3">
        <v>62.23</v>
      </c>
      <c r="I5" s="3">
        <v>383.97</v>
      </c>
      <c r="J5" s="3">
        <v>6170.24</v>
      </c>
      <c r="K5" s="1" t="s">
        <v>40</v>
      </c>
      <c r="L5" s="2" t="s">
        <v>41</v>
      </c>
      <c r="M5" s="3">
        <v>226.14</v>
      </c>
      <c r="N5" s="3">
        <v>245.82</v>
      </c>
      <c r="O5" s="2" t="s">
        <v>42</v>
      </c>
      <c r="P5" s="3">
        <v>31.6</v>
      </c>
      <c r="Q5" t="str">
        <f t="shared" si="1"/>
        <v>2018-11</v>
      </c>
      <c r="R5" s="3">
        <f t="shared" si="2"/>
        <v>99.152177406395637</v>
      </c>
      <c r="S5" s="2" t="str">
        <f t="shared" si="0"/>
        <v>Success</v>
      </c>
    </row>
    <row r="6" spans="1:19" x14ac:dyDescent="0.3">
      <c r="A6" t="s">
        <v>43</v>
      </c>
      <c r="B6" s="1">
        <v>42718</v>
      </c>
      <c r="C6">
        <v>2016</v>
      </c>
      <c r="D6" s="2" t="s">
        <v>44</v>
      </c>
      <c r="E6" s="2" t="s">
        <v>45</v>
      </c>
      <c r="F6" s="2" t="s">
        <v>38</v>
      </c>
      <c r="G6" t="s">
        <v>46</v>
      </c>
      <c r="H6" s="3">
        <v>63.93</v>
      </c>
      <c r="I6" s="3">
        <v>203.87</v>
      </c>
      <c r="J6" s="3">
        <v>3188.99</v>
      </c>
      <c r="K6" s="1" t="s">
        <v>34</v>
      </c>
      <c r="L6" s="2" t="s">
        <v>47</v>
      </c>
      <c r="M6" s="3">
        <v>138.82</v>
      </c>
      <c r="N6" s="3">
        <v>870.18</v>
      </c>
      <c r="O6" s="2" t="s">
        <v>23</v>
      </c>
      <c r="P6" s="3">
        <v>29.14</v>
      </c>
      <c r="Q6" t="str">
        <f t="shared" si="1"/>
        <v>2016-12</v>
      </c>
      <c r="R6" s="3">
        <f t="shared" si="2"/>
        <v>49.882527764742683</v>
      </c>
      <c r="S6" s="2" t="str">
        <f t="shared" si="0"/>
        <v>Success</v>
      </c>
    </row>
    <row r="7" spans="1:19" x14ac:dyDescent="0.3">
      <c r="A7" t="s">
        <v>48</v>
      </c>
      <c r="B7" s="1">
        <v>41222</v>
      </c>
      <c r="C7">
        <v>2012</v>
      </c>
      <c r="D7" s="2" t="s">
        <v>17</v>
      </c>
      <c r="E7" s="2" t="s">
        <v>18</v>
      </c>
      <c r="F7" s="2" t="s">
        <v>38</v>
      </c>
      <c r="G7" t="s">
        <v>46</v>
      </c>
      <c r="H7" s="3">
        <v>27.72</v>
      </c>
      <c r="I7" s="3">
        <v>181.63</v>
      </c>
      <c r="J7" s="3">
        <v>6552.35</v>
      </c>
      <c r="K7" s="1" t="s">
        <v>40</v>
      </c>
      <c r="L7" s="2" t="s">
        <v>49</v>
      </c>
      <c r="M7" s="3">
        <v>221.15</v>
      </c>
      <c r="N7" s="3">
        <v>1042.8499999999999</v>
      </c>
      <c r="O7" s="2" t="s">
        <v>23</v>
      </c>
      <c r="P7" s="3">
        <v>23.44</v>
      </c>
      <c r="Q7" t="str">
        <f t="shared" si="1"/>
        <v>2012-11</v>
      </c>
      <c r="R7" s="3">
        <f t="shared" si="2"/>
        <v>236.37626262626264</v>
      </c>
      <c r="S7" s="2" t="str">
        <f t="shared" si="0"/>
        <v>Success</v>
      </c>
    </row>
    <row r="8" spans="1:19" x14ac:dyDescent="0.3">
      <c r="A8" t="s">
        <v>50</v>
      </c>
      <c r="B8" s="1">
        <v>40730</v>
      </c>
      <c r="C8">
        <v>2011</v>
      </c>
      <c r="D8" s="2" t="s">
        <v>36</v>
      </c>
      <c r="E8" s="2" t="s">
        <v>51</v>
      </c>
      <c r="F8" s="2" t="s">
        <v>33</v>
      </c>
      <c r="G8" t="s">
        <v>27</v>
      </c>
      <c r="H8" s="3">
        <v>87.76</v>
      </c>
      <c r="I8" s="3">
        <v>253.46</v>
      </c>
      <c r="J8" s="3">
        <v>2888.07</v>
      </c>
      <c r="K8" s="1" t="s">
        <v>28</v>
      </c>
      <c r="L8" s="2" t="s">
        <v>41</v>
      </c>
      <c r="M8" s="3">
        <v>148.91</v>
      </c>
      <c r="N8" s="3">
        <v>1114.55</v>
      </c>
      <c r="O8" s="2" t="s">
        <v>52</v>
      </c>
      <c r="P8" s="3">
        <v>22.14</v>
      </c>
      <c r="Q8" t="str">
        <f t="shared" si="1"/>
        <v>2011-07</v>
      </c>
      <c r="R8" s="3">
        <f t="shared" si="2"/>
        <v>32.908728350045578</v>
      </c>
      <c r="S8" s="2" t="str">
        <f t="shared" si="0"/>
        <v>Success</v>
      </c>
    </row>
    <row r="9" spans="1:19" x14ac:dyDescent="0.3">
      <c r="A9" t="s">
        <v>53</v>
      </c>
      <c r="B9" s="1">
        <v>43428</v>
      </c>
      <c r="C9">
        <v>2018</v>
      </c>
      <c r="D9" s="2" t="s">
        <v>17</v>
      </c>
      <c r="E9" s="2" t="s">
        <v>54</v>
      </c>
      <c r="F9" s="2" t="s">
        <v>38</v>
      </c>
      <c r="G9" t="s">
        <v>39</v>
      </c>
      <c r="H9" s="3">
        <v>58.87</v>
      </c>
      <c r="I9" s="3">
        <v>376</v>
      </c>
      <c r="J9" s="3">
        <v>6386.94</v>
      </c>
      <c r="K9" s="1" t="s">
        <v>28</v>
      </c>
      <c r="L9" s="2" t="s">
        <v>22</v>
      </c>
      <c r="M9" s="3">
        <v>140.5</v>
      </c>
      <c r="N9" s="3">
        <v>1197.33</v>
      </c>
      <c r="O9" s="2" t="s">
        <v>42</v>
      </c>
      <c r="P9" s="3">
        <v>27.64</v>
      </c>
      <c r="Q9" t="str">
        <f t="shared" si="1"/>
        <v>2018-11</v>
      </c>
      <c r="R9" s="3">
        <f t="shared" si="2"/>
        <v>108.49227110582639</v>
      </c>
      <c r="S9" s="2" t="str">
        <f t="shared" si="0"/>
        <v>Success</v>
      </c>
    </row>
    <row r="10" spans="1:19" x14ac:dyDescent="0.3">
      <c r="A10" t="s">
        <v>55</v>
      </c>
      <c r="B10" s="1">
        <v>41035</v>
      </c>
      <c r="C10">
        <v>2012</v>
      </c>
      <c r="D10" s="2" t="s">
        <v>44</v>
      </c>
      <c r="E10" s="2" t="s">
        <v>45</v>
      </c>
      <c r="F10" s="2" t="s">
        <v>19</v>
      </c>
      <c r="G10" t="s">
        <v>56</v>
      </c>
      <c r="H10" s="3">
        <v>79.42</v>
      </c>
      <c r="I10" s="3">
        <v>280.58999999999997</v>
      </c>
      <c r="J10" s="3">
        <v>3532.96</v>
      </c>
      <c r="K10" s="1" t="s">
        <v>21</v>
      </c>
      <c r="L10" s="2" t="s">
        <v>22</v>
      </c>
      <c r="M10" s="3">
        <v>146.19</v>
      </c>
      <c r="N10" s="3">
        <v>795.89</v>
      </c>
      <c r="O10" s="2" t="s">
        <v>52</v>
      </c>
      <c r="P10" s="3">
        <v>27.94</v>
      </c>
      <c r="Q10" t="str">
        <f t="shared" si="1"/>
        <v>2012-05</v>
      </c>
      <c r="R10" s="3">
        <f t="shared" si="2"/>
        <v>44.484512717199699</v>
      </c>
      <c r="S10" s="2" t="str">
        <f t="shared" si="0"/>
        <v>Success</v>
      </c>
    </row>
    <row r="11" spans="1:19" x14ac:dyDescent="0.3">
      <c r="A11" t="s">
        <v>57</v>
      </c>
      <c r="B11" s="1">
        <v>40680</v>
      </c>
      <c r="C11">
        <v>2011</v>
      </c>
      <c r="D11" s="2" t="s">
        <v>17</v>
      </c>
      <c r="E11" s="2" t="s">
        <v>54</v>
      </c>
      <c r="F11" s="2" t="s">
        <v>19</v>
      </c>
      <c r="G11" t="s">
        <v>27</v>
      </c>
      <c r="H11" s="3">
        <v>75.34</v>
      </c>
      <c r="I11" s="3">
        <v>422.78</v>
      </c>
      <c r="J11" s="3">
        <v>5611.59</v>
      </c>
      <c r="K11" s="1" t="s">
        <v>34</v>
      </c>
      <c r="L11" s="2" t="s">
        <v>49</v>
      </c>
      <c r="M11" s="3">
        <v>77.89</v>
      </c>
      <c r="N11" s="3">
        <v>634.77</v>
      </c>
      <c r="O11" s="2" t="s">
        <v>52</v>
      </c>
      <c r="P11" s="3">
        <v>20.05</v>
      </c>
      <c r="Q11" t="str">
        <f t="shared" si="1"/>
        <v>2011-05</v>
      </c>
      <c r="R11" s="3">
        <f t="shared" si="2"/>
        <v>74.483541279532787</v>
      </c>
      <c r="S11" s="2" t="str">
        <f t="shared" si="0"/>
        <v>Success</v>
      </c>
    </row>
    <row r="12" spans="1:19" x14ac:dyDescent="0.3">
      <c r="A12" t="s">
        <v>58</v>
      </c>
      <c r="B12" s="1">
        <v>43387</v>
      </c>
      <c r="C12">
        <v>2018</v>
      </c>
      <c r="D12" s="2" t="s">
        <v>59</v>
      </c>
      <c r="E12" s="2" t="s">
        <v>60</v>
      </c>
      <c r="F12" s="2" t="s">
        <v>33</v>
      </c>
      <c r="G12" t="s">
        <v>39</v>
      </c>
      <c r="H12" s="3">
        <v>30.55</v>
      </c>
      <c r="I12" s="3">
        <v>147.66999999999999</v>
      </c>
      <c r="J12" s="3">
        <v>4833.7</v>
      </c>
      <c r="K12" s="1" t="s">
        <v>40</v>
      </c>
      <c r="L12" s="2" t="s">
        <v>22</v>
      </c>
      <c r="M12" s="3">
        <v>88.21</v>
      </c>
      <c r="N12" s="3">
        <v>962.51</v>
      </c>
      <c r="O12" s="2" t="s">
        <v>61</v>
      </c>
      <c r="P12" s="3">
        <v>34.299999999999997</v>
      </c>
      <c r="Q12" t="str">
        <f t="shared" si="1"/>
        <v>2018-10</v>
      </c>
      <c r="R12" s="3">
        <f t="shared" si="2"/>
        <v>158.22258592471357</v>
      </c>
      <c r="S12" s="2" t="str">
        <f t="shared" si="0"/>
        <v>Success</v>
      </c>
    </row>
    <row r="13" spans="1:19" x14ac:dyDescent="0.3">
      <c r="A13" t="s">
        <v>62</v>
      </c>
      <c r="B13" s="1">
        <v>42908</v>
      </c>
      <c r="C13">
        <v>2017</v>
      </c>
      <c r="D13" s="2" t="s">
        <v>59</v>
      </c>
      <c r="E13" s="2" t="s">
        <v>63</v>
      </c>
      <c r="F13" s="2" t="s">
        <v>33</v>
      </c>
      <c r="G13" t="s">
        <v>64</v>
      </c>
      <c r="H13" s="3">
        <v>92.98</v>
      </c>
      <c r="I13" s="3">
        <v>583.20000000000005</v>
      </c>
      <c r="J13" s="3">
        <v>6272.33</v>
      </c>
      <c r="K13" s="1" t="s">
        <v>34</v>
      </c>
      <c r="L13" s="2" t="s">
        <v>29</v>
      </c>
      <c r="M13" s="3">
        <v>109.86</v>
      </c>
      <c r="N13" s="3">
        <v>440.87</v>
      </c>
      <c r="O13" s="2" t="s">
        <v>61</v>
      </c>
      <c r="P13" s="3">
        <v>34.200000000000003</v>
      </c>
      <c r="Q13" t="str">
        <f t="shared" si="1"/>
        <v>2017-06</v>
      </c>
      <c r="R13" s="3">
        <f t="shared" si="2"/>
        <v>67.458915895891579</v>
      </c>
      <c r="S13" s="2" t="str">
        <f t="shared" si="0"/>
        <v>Success</v>
      </c>
    </row>
    <row r="14" spans="1:19" x14ac:dyDescent="0.3">
      <c r="A14" t="s">
        <v>65</v>
      </c>
      <c r="B14" s="1">
        <v>44711</v>
      </c>
      <c r="C14">
        <v>2022</v>
      </c>
      <c r="D14" s="2" t="s">
        <v>44</v>
      </c>
      <c r="E14" s="2" t="s">
        <v>45</v>
      </c>
      <c r="F14" s="2" t="s">
        <v>19</v>
      </c>
      <c r="G14" t="s">
        <v>56</v>
      </c>
      <c r="H14" s="3">
        <v>13.71</v>
      </c>
      <c r="I14" s="3">
        <v>52.81</v>
      </c>
      <c r="J14" s="3">
        <v>3851.69</v>
      </c>
      <c r="K14" s="1" t="s">
        <v>40</v>
      </c>
      <c r="L14" s="2" t="s">
        <v>47</v>
      </c>
      <c r="M14" s="3">
        <v>116.26</v>
      </c>
      <c r="N14" s="3">
        <v>1072.43</v>
      </c>
      <c r="O14" s="2" t="s">
        <v>52</v>
      </c>
      <c r="P14" s="3">
        <v>34.47</v>
      </c>
      <c r="Q14" t="str">
        <f t="shared" si="1"/>
        <v>2022-05</v>
      </c>
      <c r="R14" s="3">
        <f t="shared" si="2"/>
        <v>280.94018964259664</v>
      </c>
      <c r="S14" s="2" t="str">
        <f t="shared" si="0"/>
        <v>Success</v>
      </c>
    </row>
    <row r="15" spans="1:19" x14ac:dyDescent="0.3">
      <c r="A15" t="s">
        <v>66</v>
      </c>
      <c r="B15" s="1">
        <v>44364</v>
      </c>
      <c r="C15">
        <v>2021</v>
      </c>
      <c r="D15" s="2" t="s">
        <v>44</v>
      </c>
      <c r="E15" s="2" t="s">
        <v>67</v>
      </c>
      <c r="F15" s="2" t="s">
        <v>33</v>
      </c>
      <c r="G15" t="s">
        <v>39</v>
      </c>
      <c r="H15" s="3">
        <v>31.86</v>
      </c>
      <c r="I15" s="3">
        <v>222.09</v>
      </c>
      <c r="J15" s="3">
        <v>6970.9</v>
      </c>
      <c r="K15" s="1" t="s">
        <v>34</v>
      </c>
      <c r="L15" s="2" t="s">
        <v>49</v>
      </c>
      <c r="M15" s="3">
        <v>159.53</v>
      </c>
      <c r="N15" s="3">
        <v>717.58</v>
      </c>
      <c r="O15" s="2" t="s">
        <v>23</v>
      </c>
      <c r="P15" s="3">
        <v>23.72</v>
      </c>
      <c r="Q15" t="str">
        <f t="shared" si="1"/>
        <v>2021-06</v>
      </c>
      <c r="R15" s="3">
        <f t="shared" si="2"/>
        <v>218.79786566227244</v>
      </c>
      <c r="S15" s="2" t="str">
        <f t="shared" si="0"/>
        <v>Success</v>
      </c>
    </row>
    <row r="16" spans="1:19" x14ac:dyDescent="0.3">
      <c r="A16" t="s">
        <v>68</v>
      </c>
      <c r="B16" s="1">
        <v>43312</v>
      </c>
      <c r="C16">
        <v>2018</v>
      </c>
      <c r="D16" s="2" t="s">
        <v>25</v>
      </c>
      <c r="E16" s="2" t="s">
        <v>69</v>
      </c>
      <c r="F16" s="2" t="s">
        <v>33</v>
      </c>
      <c r="G16" t="s">
        <v>27</v>
      </c>
      <c r="H16" s="3">
        <v>22.8</v>
      </c>
      <c r="I16" s="3">
        <v>32.51</v>
      </c>
      <c r="J16" s="3">
        <v>1425.96</v>
      </c>
      <c r="K16" s="1" t="s">
        <v>21</v>
      </c>
      <c r="L16" s="2" t="s">
        <v>49</v>
      </c>
      <c r="M16" s="3">
        <v>107.24</v>
      </c>
      <c r="N16" s="3">
        <v>1105.42</v>
      </c>
      <c r="O16" s="2" t="s">
        <v>70</v>
      </c>
      <c r="P16" s="3">
        <v>21.06</v>
      </c>
      <c r="Q16" t="str">
        <f t="shared" si="1"/>
        <v>2018-07</v>
      </c>
      <c r="R16" s="3">
        <f t="shared" si="2"/>
        <v>62.542105263157893</v>
      </c>
      <c r="S16" s="2" t="str">
        <f t="shared" si="0"/>
        <v>Success</v>
      </c>
    </row>
    <row r="17" spans="1:19" x14ac:dyDescent="0.3">
      <c r="A17" t="s">
        <v>71</v>
      </c>
      <c r="B17" s="1">
        <v>41371</v>
      </c>
      <c r="C17">
        <v>2013</v>
      </c>
      <c r="D17" s="2" t="s">
        <v>17</v>
      </c>
      <c r="E17" s="2" t="s">
        <v>72</v>
      </c>
      <c r="F17" s="2" t="s">
        <v>19</v>
      </c>
      <c r="G17" t="s">
        <v>56</v>
      </c>
      <c r="H17" s="3">
        <v>72.61</v>
      </c>
      <c r="I17" s="3">
        <v>457.03</v>
      </c>
      <c r="J17" s="3">
        <v>6294.3</v>
      </c>
      <c r="K17" s="1" t="s">
        <v>28</v>
      </c>
      <c r="L17" s="2" t="s">
        <v>29</v>
      </c>
      <c r="M17" s="3">
        <v>110.75</v>
      </c>
      <c r="N17" s="3">
        <v>672.97</v>
      </c>
      <c r="O17" s="2" t="s">
        <v>52</v>
      </c>
      <c r="P17" s="3">
        <v>22.86</v>
      </c>
      <c r="Q17" t="str">
        <f t="shared" si="1"/>
        <v>2013-04</v>
      </c>
      <c r="R17" s="3">
        <f t="shared" si="2"/>
        <v>86.68640683101502</v>
      </c>
      <c r="S17" s="2" t="str">
        <f t="shared" si="0"/>
        <v>Success</v>
      </c>
    </row>
    <row r="18" spans="1:19" x14ac:dyDescent="0.3">
      <c r="A18" t="s">
        <v>73</v>
      </c>
      <c r="B18" s="1">
        <v>42723</v>
      </c>
      <c r="C18">
        <v>2016</v>
      </c>
      <c r="D18" s="2" t="s">
        <v>31</v>
      </c>
      <c r="E18" s="2" t="s">
        <v>32</v>
      </c>
      <c r="F18" s="2" t="s">
        <v>38</v>
      </c>
      <c r="G18" t="s">
        <v>39</v>
      </c>
      <c r="H18" s="3">
        <v>6.36</v>
      </c>
      <c r="I18" s="3">
        <v>31.3</v>
      </c>
      <c r="J18" s="3">
        <v>4920.7299999999996</v>
      </c>
      <c r="K18" s="1" t="s">
        <v>21</v>
      </c>
      <c r="L18" s="2" t="s">
        <v>47</v>
      </c>
      <c r="M18" s="3">
        <v>65.150000000000006</v>
      </c>
      <c r="N18" s="3">
        <v>928.21</v>
      </c>
      <c r="O18" s="2" t="s">
        <v>23</v>
      </c>
      <c r="P18" s="3">
        <v>23.73</v>
      </c>
      <c r="Q18" t="str">
        <f t="shared" si="1"/>
        <v>2016-12</v>
      </c>
      <c r="R18" s="3">
        <f t="shared" si="2"/>
        <v>773.69968553459114</v>
      </c>
      <c r="S18" s="2" t="str">
        <f t="shared" si="0"/>
        <v>Success</v>
      </c>
    </row>
    <row r="19" spans="1:19" x14ac:dyDescent="0.3">
      <c r="A19" t="s">
        <v>74</v>
      </c>
      <c r="B19" s="1">
        <v>42660</v>
      </c>
      <c r="C19">
        <v>2016</v>
      </c>
      <c r="D19" s="2" t="s">
        <v>36</v>
      </c>
      <c r="E19" s="2" t="s">
        <v>37</v>
      </c>
      <c r="F19" s="2" t="s">
        <v>33</v>
      </c>
      <c r="G19" t="s">
        <v>20</v>
      </c>
      <c r="H19" s="3">
        <v>46.8</v>
      </c>
      <c r="I19" s="3">
        <v>292.36</v>
      </c>
      <c r="J19" s="3">
        <v>6246.92</v>
      </c>
      <c r="K19" s="1" t="s">
        <v>21</v>
      </c>
      <c r="L19" s="2" t="s">
        <v>22</v>
      </c>
      <c r="M19" s="3">
        <v>160.78</v>
      </c>
      <c r="N19" s="3">
        <v>1061.3499999999999</v>
      </c>
      <c r="O19" s="2" t="s">
        <v>61</v>
      </c>
      <c r="P19" s="3">
        <v>21.47</v>
      </c>
      <c r="Q19" t="str">
        <f t="shared" si="1"/>
        <v>2016-10</v>
      </c>
      <c r="R19" s="3">
        <f t="shared" si="2"/>
        <v>133.4811965811966</v>
      </c>
      <c r="S19" s="2" t="str">
        <f t="shared" si="0"/>
        <v>Success</v>
      </c>
    </row>
    <row r="20" spans="1:19" x14ac:dyDescent="0.3">
      <c r="A20" t="s">
        <v>75</v>
      </c>
      <c r="B20" s="1">
        <v>41330</v>
      </c>
      <c r="C20">
        <v>2012</v>
      </c>
      <c r="D20" s="2" t="s">
        <v>25</v>
      </c>
      <c r="E20" s="2" t="s">
        <v>26</v>
      </c>
      <c r="F20" s="2" t="s">
        <v>38</v>
      </c>
      <c r="G20" t="s">
        <v>46</v>
      </c>
      <c r="H20" s="3">
        <v>48.65</v>
      </c>
      <c r="I20" s="3">
        <v>301.04000000000002</v>
      </c>
      <c r="J20" s="3">
        <v>6187.9</v>
      </c>
      <c r="K20" s="1" t="s">
        <v>21</v>
      </c>
      <c r="L20" s="2" t="s">
        <v>49</v>
      </c>
      <c r="M20" s="3">
        <v>91.16</v>
      </c>
      <c r="N20" s="3">
        <v>202.16</v>
      </c>
      <c r="O20" s="2" t="s">
        <v>52</v>
      </c>
      <c r="P20" s="3">
        <v>23.98</v>
      </c>
      <c r="Q20" t="str">
        <f t="shared" si="1"/>
        <v>2013-02</v>
      </c>
      <c r="R20" s="3">
        <f t="shared" si="2"/>
        <v>127.19218910585816</v>
      </c>
      <c r="S20" s="2" t="str">
        <f t="shared" si="0"/>
        <v>Success</v>
      </c>
    </row>
    <row r="21" spans="1:19" x14ac:dyDescent="0.3">
      <c r="A21" t="s">
        <v>76</v>
      </c>
      <c r="B21" s="1">
        <v>44307</v>
      </c>
      <c r="C21">
        <v>2021</v>
      </c>
      <c r="D21" s="2" t="s">
        <v>36</v>
      </c>
      <c r="E21" s="2" t="s">
        <v>77</v>
      </c>
      <c r="F21" s="2" t="s">
        <v>19</v>
      </c>
      <c r="G21" t="s">
        <v>39</v>
      </c>
      <c r="H21" s="3">
        <v>72.12</v>
      </c>
      <c r="I21" s="3">
        <v>139.1</v>
      </c>
      <c r="J21" s="3">
        <v>1928.78</v>
      </c>
      <c r="K21" s="1" t="s">
        <v>34</v>
      </c>
      <c r="L21" s="2" t="s">
        <v>22</v>
      </c>
      <c r="M21" s="3">
        <v>104.43</v>
      </c>
      <c r="N21" s="3">
        <v>258.48</v>
      </c>
      <c r="O21" s="2" t="s">
        <v>61</v>
      </c>
      <c r="P21" s="3">
        <v>20.91</v>
      </c>
      <c r="Q21" t="str">
        <f t="shared" si="1"/>
        <v>2021-04</v>
      </c>
      <c r="R21" s="3">
        <f t="shared" si="2"/>
        <v>26.744037714919575</v>
      </c>
      <c r="S21" s="2" t="str">
        <f t="shared" si="0"/>
        <v>Success</v>
      </c>
    </row>
    <row r="22" spans="1:19" x14ac:dyDescent="0.3">
      <c r="A22" t="s">
        <v>78</v>
      </c>
      <c r="B22" s="1">
        <v>42841</v>
      </c>
      <c r="C22">
        <v>2017</v>
      </c>
      <c r="D22" s="2" t="s">
        <v>25</v>
      </c>
      <c r="E22" s="2" t="s">
        <v>69</v>
      </c>
      <c r="F22" s="2" t="s">
        <v>19</v>
      </c>
      <c r="G22" t="s">
        <v>27</v>
      </c>
      <c r="H22" s="3">
        <v>16.59</v>
      </c>
      <c r="I22" s="3">
        <v>112.23</v>
      </c>
      <c r="J22" s="3">
        <v>6764.67</v>
      </c>
      <c r="K22" s="1" t="s">
        <v>21</v>
      </c>
      <c r="L22" s="2" t="s">
        <v>29</v>
      </c>
      <c r="M22" s="3">
        <v>262.83999999999997</v>
      </c>
      <c r="N22" s="3">
        <v>268.52</v>
      </c>
      <c r="O22" s="2" t="s">
        <v>23</v>
      </c>
      <c r="P22" s="3">
        <v>30.13</v>
      </c>
      <c r="Q22" t="str">
        <f t="shared" si="1"/>
        <v>2017-04</v>
      </c>
      <c r="R22" s="3">
        <f t="shared" si="2"/>
        <v>407.75587703435804</v>
      </c>
      <c r="S22" s="2" t="str">
        <f t="shared" si="0"/>
        <v>Success</v>
      </c>
    </row>
    <row r="23" spans="1:19" x14ac:dyDescent="0.3">
      <c r="A23" t="s">
        <v>79</v>
      </c>
      <c r="B23" s="1">
        <v>41390</v>
      </c>
      <c r="C23">
        <v>2013</v>
      </c>
      <c r="D23" s="2" t="s">
        <v>25</v>
      </c>
      <c r="E23" s="2" t="s">
        <v>69</v>
      </c>
      <c r="F23" s="2" t="s">
        <v>19</v>
      </c>
      <c r="G23" t="s">
        <v>27</v>
      </c>
      <c r="H23" s="3">
        <v>4.93</v>
      </c>
      <c r="I23" s="3">
        <v>7.36</v>
      </c>
      <c r="J23" s="3">
        <v>1491.9</v>
      </c>
      <c r="K23" s="1" t="s">
        <v>34</v>
      </c>
      <c r="L23" s="2" t="s">
        <v>41</v>
      </c>
      <c r="M23" s="3">
        <v>283.68</v>
      </c>
      <c r="N23" s="3">
        <v>404.26</v>
      </c>
      <c r="O23" s="2" t="s">
        <v>70</v>
      </c>
      <c r="P23" s="3">
        <v>23.58</v>
      </c>
      <c r="Q23" t="str">
        <f t="shared" si="1"/>
        <v>2013-04</v>
      </c>
      <c r="R23" s="3">
        <f t="shared" si="2"/>
        <v>302.61663286004062</v>
      </c>
      <c r="S23" s="2" t="str">
        <f t="shared" si="0"/>
        <v>Success</v>
      </c>
    </row>
    <row r="24" spans="1:19" x14ac:dyDescent="0.3">
      <c r="A24" t="s">
        <v>80</v>
      </c>
      <c r="B24" s="1">
        <v>41998</v>
      </c>
      <c r="C24">
        <v>2014</v>
      </c>
      <c r="D24" s="2" t="s">
        <v>17</v>
      </c>
      <c r="E24" s="2" t="s">
        <v>54</v>
      </c>
      <c r="F24" s="2" t="s">
        <v>38</v>
      </c>
      <c r="G24" t="s">
        <v>20</v>
      </c>
      <c r="H24" s="3">
        <v>92.97</v>
      </c>
      <c r="I24" s="3">
        <v>614.94000000000005</v>
      </c>
      <c r="J24" s="3">
        <v>6614.41</v>
      </c>
      <c r="K24" s="1" t="s">
        <v>21</v>
      </c>
      <c r="L24" s="2" t="s">
        <v>47</v>
      </c>
      <c r="M24" s="3">
        <v>164.57</v>
      </c>
      <c r="N24" s="3">
        <v>1198.45</v>
      </c>
      <c r="O24" s="2" t="s">
        <v>23</v>
      </c>
      <c r="P24" s="3">
        <v>21.1</v>
      </c>
      <c r="Q24" t="str">
        <f t="shared" si="1"/>
        <v>2014-12</v>
      </c>
      <c r="R24" s="3">
        <f t="shared" si="2"/>
        <v>71.145638377971395</v>
      </c>
      <c r="S24" s="2" t="str">
        <f t="shared" si="0"/>
        <v>Success</v>
      </c>
    </row>
    <row r="25" spans="1:19" x14ac:dyDescent="0.3">
      <c r="A25" t="s">
        <v>81</v>
      </c>
      <c r="B25" s="1">
        <v>42297</v>
      </c>
      <c r="C25">
        <v>2015</v>
      </c>
      <c r="D25" s="2" t="s">
        <v>31</v>
      </c>
      <c r="E25" s="2" t="s">
        <v>82</v>
      </c>
      <c r="F25" s="2" t="s">
        <v>33</v>
      </c>
      <c r="G25" t="s">
        <v>56</v>
      </c>
      <c r="H25" s="3">
        <v>37.58</v>
      </c>
      <c r="I25" s="3">
        <v>73.150000000000006</v>
      </c>
      <c r="J25" s="3">
        <v>1946.48</v>
      </c>
      <c r="K25" s="1" t="s">
        <v>34</v>
      </c>
      <c r="L25" s="2" t="s">
        <v>49</v>
      </c>
      <c r="M25" s="3">
        <v>202.92</v>
      </c>
      <c r="N25" s="3">
        <v>1187.23</v>
      </c>
      <c r="O25" s="2" t="s">
        <v>61</v>
      </c>
      <c r="P25" s="3">
        <v>20.12</v>
      </c>
      <c r="Q25" t="str">
        <f t="shared" si="1"/>
        <v>2015-10</v>
      </c>
      <c r="R25" s="3">
        <f t="shared" si="2"/>
        <v>51.795635976583291</v>
      </c>
      <c r="S25" s="2" t="str">
        <f t="shared" si="0"/>
        <v>Success</v>
      </c>
    </row>
    <row r="26" spans="1:19" x14ac:dyDescent="0.3">
      <c r="A26" t="s">
        <v>83</v>
      </c>
      <c r="B26" s="1">
        <v>41281</v>
      </c>
      <c r="C26">
        <v>2012</v>
      </c>
      <c r="D26" s="2" t="s">
        <v>17</v>
      </c>
      <c r="E26" s="2" t="s">
        <v>18</v>
      </c>
      <c r="F26" s="2" t="s">
        <v>38</v>
      </c>
      <c r="G26" t="s">
        <v>64</v>
      </c>
      <c r="H26" s="3">
        <v>89.08</v>
      </c>
      <c r="I26" s="3">
        <v>485.89</v>
      </c>
      <c r="J26" s="3">
        <v>5454.5</v>
      </c>
      <c r="K26" s="1" t="s">
        <v>40</v>
      </c>
      <c r="L26" s="2" t="s">
        <v>47</v>
      </c>
      <c r="M26" s="3">
        <v>118.09</v>
      </c>
      <c r="N26" s="3">
        <v>804.83</v>
      </c>
      <c r="O26" s="2" t="s">
        <v>70</v>
      </c>
      <c r="P26" s="3">
        <v>23.05</v>
      </c>
      <c r="Q26" t="str">
        <f t="shared" si="1"/>
        <v>2013-01</v>
      </c>
      <c r="R26" s="3">
        <f t="shared" si="2"/>
        <v>61.231477323753928</v>
      </c>
      <c r="S26" s="2" t="str">
        <f t="shared" si="0"/>
        <v>Success</v>
      </c>
    </row>
    <row r="27" spans="1:19" x14ac:dyDescent="0.3">
      <c r="A27" t="s">
        <v>84</v>
      </c>
      <c r="B27" s="1">
        <v>40443</v>
      </c>
      <c r="C27">
        <v>2010</v>
      </c>
      <c r="D27" s="2" t="s">
        <v>36</v>
      </c>
      <c r="E27" s="2" t="s">
        <v>51</v>
      </c>
      <c r="F27" s="2" t="s">
        <v>33</v>
      </c>
      <c r="G27" t="s">
        <v>39</v>
      </c>
      <c r="H27" s="3">
        <v>42.93</v>
      </c>
      <c r="I27" s="3">
        <v>114.2</v>
      </c>
      <c r="J27" s="3">
        <v>2660.08</v>
      </c>
      <c r="K27" s="1" t="s">
        <v>21</v>
      </c>
      <c r="L27" s="2" t="s">
        <v>47</v>
      </c>
      <c r="M27" s="3">
        <v>133.38999999999999</v>
      </c>
      <c r="N27" s="3">
        <v>330.82</v>
      </c>
      <c r="O27" s="2" t="s">
        <v>70</v>
      </c>
      <c r="P27" s="3">
        <v>22.42</v>
      </c>
      <c r="Q27" t="str">
        <f t="shared" si="1"/>
        <v>2010-09</v>
      </c>
      <c r="R27" s="3">
        <f t="shared" si="2"/>
        <v>61.963195900302814</v>
      </c>
      <c r="S27" s="2" t="str">
        <f t="shared" si="0"/>
        <v>Success</v>
      </c>
    </row>
    <row r="28" spans="1:19" x14ac:dyDescent="0.3">
      <c r="A28" t="s">
        <v>85</v>
      </c>
      <c r="B28" s="1">
        <v>43362</v>
      </c>
      <c r="C28">
        <v>2018</v>
      </c>
      <c r="D28" s="2" t="s">
        <v>17</v>
      </c>
      <c r="E28" s="2" t="s">
        <v>72</v>
      </c>
      <c r="F28" s="2" t="s">
        <v>33</v>
      </c>
      <c r="G28" t="s">
        <v>64</v>
      </c>
      <c r="H28" s="3">
        <v>8.4499999999999993</v>
      </c>
      <c r="I28" s="3">
        <v>53.22</v>
      </c>
      <c r="J28" s="3">
        <v>6298.64</v>
      </c>
      <c r="K28" s="1" t="s">
        <v>40</v>
      </c>
      <c r="L28" s="2" t="s">
        <v>41</v>
      </c>
      <c r="M28" s="3">
        <v>186.4</v>
      </c>
      <c r="N28" s="3">
        <v>1034.5999999999999</v>
      </c>
      <c r="O28" s="2" t="s">
        <v>61</v>
      </c>
      <c r="P28" s="3">
        <v>28.29</v>
      </c>
      <c r="Q28" t="str">
        <f t="shared" si="1"/>
        <v>2018-09</v>
      </c>
      <c r="R28" s="3">
        <f t="shared" si="2"/>
        <v>745.40118343195275</v>
      </c>
      <c r="S28" s="2" t="str">
        <f t="shared" si="0"/>
        <v>Success</v>
      </c>
    </row>
    <row r="29" spans="1:19" x14ac:dyDescent="0.3">
      <c r="A29" t="s">
        <v>86</v>
      </c>
      <c r="B29" s="1">
        <v>42195</v>
      </c>
      <c r="C29">
        <v>2015</v>
      </c>
      <c r="D29" s="2" t="s">
        <v>25</v>
      </c>
      <c r="E29" s="2" t="s">
        <v>87</v>
      </c>
      <c r="F29" s="2" t="s">
        <v>33</v>
      </c>
      <c r="G29" t="s">
        <v>20</v>
      </c>
      <c r="H29" s="3">
        <v>21.8</v>
      </c>
      <c r="I29" s="3">
        <v>54.44</v>
      </c>
      <c r="J29" s="3">
        <v>2497.1799999999998</v>
      </c>
      <c r="K29" s="1" t="s">
        <v>21</v>
      </c>
      <c r="L29" s="2" t="s">
        <v>41</v>
      </c>
      <c r="M29" s="3">
        <v>138.41999999999999</v>
      </c>
      <c r="N29" s="3">
        <v>759.88</v>
      </c>
      <c r="O29" s="2" t="s">
        <v>52</v>
      </c>
      <c r="P29" s="3">
        <v>34.61</v>
      </c>
      <c r="Q29" t="str">
        <f t="shared" si="1"/>
        <v>2015-07</v>
      </c>
      <c r="R29" s="3">
        <f t="shared" si="2"/>
        <v>114.54954128440366</v>
      </c>
      <c r="S29" s="2" t="str">
        <f t="shared" si="0"/>
        <v>Success</v>
      </c>
    </row>
    <row r="30" spans="1:19" x14ac:dyDescent="0.3">
      <c r="A30" t="s">
        <v>88</v>
      </c>
      <c r="B30" s="1">
        <v>44740</v>
      </c>
      <c r="C30">
        <v>2022</v>
      </c>
      <c r="D30" s="2" t="s">
        <v>44</v>
      </c>
      <c r="E30" s="2" t="s">
        <v>45</v>
      </c>
      <c r="F30" s="2" t="s">
        <v>33</v>
      </c>
      <c r="G30" t="s">
        <v>46</v>
      </c>
      <c r="H30" s="3">
        <v>3.45</v>
      </c>
      <c r="I30" s="3">
        <v>18.7</v>
      </c>
      <c r="J30" s="3">
        <v>5419.39</v>
      </c>
      <c r="K30" s="1" t="s">
        <v>34</v>
      </c>
      <c r="L30" s="2" t="s">
        <v>29</v>
      </c>
      <c r="M30" s="3">
        <v>245.6</v>
      </c>
      <c r="N30" s="3">
        <v>611.71</v>
      </c>
      <c r="O30" s="2" t="s">
        <v>42</v>
      </c>
      <c r="P30" s="3">
        <v>24</v>
      </c>
      <c r="Q30" t="str">
        <f t="shared" si="1"/>
        <v>2022-06</v>
      </c>
      <c r="R30" s="3">
        <f t="shared" si="2"/>
        <v>1570.8376811594203</v>
      </c>
      <c r="S30" s="2" t="str">
        <f t="shared" si="0"/>
        <v>Success</v>
      </c>
    </row>
    <row r="31" spans="1:19" x14ac:dyDescent="0.3">
      <c r="A31" t="s">
        <v>89</v>
      </c>
      <c r="B31" s="1">
        <v>42936</v>
      </c>
      <c r="C31">
        <v>2017</v>
      </c>
      <c r="D31" s="2" t="s">
        <v>44</v>
      </c>
      <c r="E31" s="2" t="s">
        <v>45</v>
      </c>
      <c r="F31" s="2" t="s">
        <v>33</v>
      </c>
      <c r="G31" t="s">
        <v>56</v>
      </c>
      <c r="H31" s="3">
        <v>81.84</v>
      </c>
      <c r="I31" s="3">
        <v>307.87</v>
      </c>
      <c r="J31" s="3">
        <v>3761.82</v>
      </c>
      <c r="K31" s="1" t="s">
        <v>34</v>
      </c>
      <c r="L31" s="2" t="s">
        <v>29</v>
      </c>
      <c r="M31" s="3">
        <v>255.13</v>
      </c>
      <c r="N31" s="3">
        <v>1071.32</v>
      </c>
      <c r="O31" s="2" t="s">
        <v>42</v>
      </c>
      <c r="P31" s="3">
        <v>20.350000000000001</v>
      </c>
      <c r="Q31" t="str">
        <f t="shared" si="1"/>
        <v>2017-07</v>
      </c>
      <c r="R31" s="3">
        <f t="shared" si="2"/>
        <v>45.965542521994138</v>
      </c>
      <c r="S31" s="2" t="str">
        <f t="shared" si="0"/>
        <v>Success</v>
      </c>
    </row>
    <row r="32" spans="1:19" x14ac:dyDescent="0.3">
      <c r="A32" t="s">
        <v>90</v>
      </c>
      <c r="B32" s="1">
        <v>40915</v>
      </c>
      <c r="C32">
        <v>2011</v>
      </c>
      <c r="D32" s="2" t="s">
        <v>31</v>
      </c>
      <c r="E32" s="2" t="s">
        <v>32</v>
      </c>
      <c r="F32" s="2" t="s">
        <v>38</v>
      </c>
      <c r="G32" t="s">
        <v>20</v>
      </c>
      <c r="H32" s="3">
        <v>64.510000000000005</v>
      </c>
      <c r="I32" s="3">
        <v>219.21</v>
      </c>
      <c r="J32" s="3">
        <v>3398.07</v>
      </c>
      <c r="K32" s="1" t="s">
        <v>34</v>
      </c>
      <c r="L32" s="2" t="s">
        <v>22</v>
      </c>
      <c r="M32" s="3">
        <v>284.81</v>
      </c>
      <c r="N32" s="3">
        <v>315.33999999999997</v>
      </c>
      <c r="O32" s="2" t="s">
        <v>70</v>
      </c>
      <c r="P32" s="3">
        <v>22.68</v>
      </c>
      <c r="Q32" t="str">
        <f t="shared" si="1"/>
        <v>2012-01</v>
      </c>
      <c r="R32" s="3">
        <f t="shared" si="2"/>
        <v>52.675089133467679</v>
      </c>
      <c r="S32" s="2" t="str">
        <f t="shared" si="0"/>
        <v>Success</v>
      </c>
    </row>
    <row r="33" spans="1:19" x14ac:dyDescent="0.3">
      <c r="A33" t="s">
        <v>91</v>
      </c>
      <c r="B33" s="1">
        <v>42786</v>
      </c>
      <c r="C33">
        <v>2016</v>
      </c>
      <c r="D33" s="2" t="s">
        <v>25</v>
      </c>
      <c r="E33" s="2" t="s">
        <v>69</v>
      </c>
      <c r="F33" s="2" t="s">
        <v>38</v>
      </c>
      <c r="G33" t="s">
        <v>39</v>
      </c>
      <c r="H33" s="3">
        <v>78.86</v>
      </c>
      <c r="I33" s="3">
        <v>285.33999999999997</v>
      </c>
      <c r="J33" s="3">
        <v>3618.36</v>
      </c>
      <c r="K33" s="1" t="s">
        <v>21</v>
      </c>
      <c r="L33" s="2" t="s">
        <v>22</v>
      </c>
      <c r="M33" s="3">
        <v>146.30000000000001</v>
      </c>
      <c r="N33" s="3">
        <v>776.59</v>
      </c>
      <c r="O33" s="2" t="s">
        <v>70</v>
      </c>
      <c r="P33" s="3">
        <v>20.67</v>
      </c>
      <c r="Q33" t="str">
        <f t="shared" si="1"/>
        <v>2017-02</v>
      </c>
      <c r="R33" s="3">
        <f t="shared" si="2"/>
        <v>45.883337560233329</v>
      </c>
      <c r="S33" s="2" t="str">
        <f t="shared" si="0"/>
        <v>Success</v>
      </c>
    </row>
    <row r="34" spans="1:19" x14ac:dyDescent="0.3">
      <c r="A34" t="s">
        <v>92</v>
      </c>
      <c r="B34" s="1">
        <v>43964</v>
      </c>
      <c r="C34">
        <v>2020</v>
      </c>
      <c r="D34" s="2" t="s">
        <v>59</v>
      </c>
      <c r="E34" s="2" t="s">
        <v>93</v>
      </c>
      <c r="F34" s="2" t="s">
        <v>19</v>
      </c>
      <c r="G34" t="s">
        <v>39</v>
      </c>
      <c r="H34" s="3">
        <v>73.97</v>
      </c>
      <c r="I34" s="3">
        <v>161.41999999999999</v>
      </c>
      <c r="J34" s="3">
        <v>2182.21</v>
      </c>
      <c r="K34" s="1" t="s">
        <v>28</v>
      </c>
      <c r="L34" s="2" t="s">
        <v>22</v>
      </c>
      <c r="M34" s="3">
        <v>67.489999999999995</v>
      </c>
      <c r="N34" s="3">
        <v>864.24</v>
      </c>
      <c r="O34" s="2" t="s">
        <v>70</v>
      </c>
      <c r="P34" s="3">
        <v>29.35</v>
      </c>
      <c r="Q34" t="str">
        <f t="shared" si="1"/>
        <v>2020-05</v>
      </c>
      <c r="R34" s="3">
        <f t="shared" si="2"/>
        <v>29.501284304447751</v>
      </c>
      <c r="S34" s="2" t="str">
        <f t="shared" si="0"/>
        <v>Success</v>
      </c>
    </row>
    <row r="35" spans="1:19" x14ac:dyDescent="0.3">
      <c r="A35" t="s">
        <v>94</v>
      </c>
      <c r="B35" s="1">
        <v>43449</v>
      </c>
      <c r="C35">
        <v>2018</v>
      </c>
      <c r="D35" s="2" t="s">
        <v>17</v>
      </c>
      <c r="E35" s="2" t="s">
        <v>72</v>
      </c>
      <c r="F35" s="2" t="s">
        <v>38</v>
      </c>
      <c r="G35" t="s">
        <v>39</v>
      </c>
      <c r="H35" s="3">
        <v>41.43</v>
      </c>
      <c r="I35" s="3">
        <v>141.46</v>
      </c>
      <c r="J35" s="3">
        <v>3414.4</v>
      </c>
      <c r="K35" s="1" t="s">
        <v>34</v>
      </c>
      <c r="L35" s="2" t="s">
        <v>47</v>
      </c>
      <c r="M35" s="3">
        <v>188.6</v>
      </c>
      <c r="N35" s="3">
        <v>391.84</v>
      </c>
      <c r="O35" s="2" t="s">
        <v>52</v>
      </c>
      <c r="P35" s="3">
        <v>30.16</v>
      </c>
      <c r="Q35" t="str">
        <f t="shared" si="1"/>
        <v>2018-12</v>
      </c>
      <c r="R35" s="3">
        <f t="shared" si="2"/>
        <v>82.413709872073383</v>
      </c>
      <c r="S35" s="2" t="str">
        <f t="shared" si="0"/>
        <v>Success</v>
      </c>
    </row>
    <row r="36" spans="1:19" x14ac:dyDescent="0.3">
      <c r="A36" t="s">
        <v>95</v>
      </c>
      <c r="B36" s="1">
        <v>42511</v>
      </c>
      <c r="C36">
        <v>2016</v>
      </c>
      <c r="D36" s="2" t="s">
        <v>59</v>
      </c>
      <c r="E36" s="2" t="s">
        <v>63</v>
      </c>
      <c r="F36" s="2" t="s">
        <v>19</v>
      </c>
      <c r="G36" t="s">
        <v>64</v>
      </c>
      <c r="H36" s="3">
        <v>31.08</v>
      </c>
      <c r="I36" s="3">
        <v>70.27</v>
      </c>
      <c r="J36" s="3">
        <v>2261.1</v>
      </c>
      <c r="K36" s="1" t="s">
        <v>34</v>
      </c>
      <c r="L36" s="2" t="s">
        <v>41</v>
      </c>
      <c r="M36" s="3">
        <v>166.25</v>
      </c>
      <c r="N36" s="3">
        <v>642.16</v>
      </c>
      <c r="O36" s="2" t="s">
        <v>42</v>
      </c>
      <c r="P36" s="3">
        <v>27.67</v>
      </c>
      <c r="Q36" t="str">
        <f t="shared" si="1"/>
        <v>2016-05</v>
      </c>
      <c r="R36" s="3">
        <f t="shared" si="2"/>
        <v>72.750965250965251</v>
      </c>
      <c r="S36" s="2" t="str">
        <f t="shared" si="0"/>
        <v>Success</v>
      </c>
    </row>
    <row r="37" spans="1:19" x14ac:dyDescent="0.3">
      <c r="A37" t="s">
        <v>96</v>
      </c>
      <c r="B37" s="1">
        <v>41732</v>
      </c>
      <c r="C37">
        <v>2014</v>
      </c>
      <c r="D37" s="2" t="s">
        <v>17</v>
      </c>
      <c r="E37" s="2" t="s">
        <v>18</v>
      </c>
      <c r="F37" s="2" t="s">
        <v>19</v>
      </c>
      <c r="G37" t="s">
        <v>39</v>
      </c>
      <c r="H37" s="3">
        <v>63.66</v>
      </c>
      <c r="I37" s="3">
        <v>191.69</v>
      </c>
      <c r="J37" s="3">
        <v>3011.13</v>
      </c>
      <c r="K37" s="1" t="s">
        <v>40</v>
      </c>
      <c r="L37" s="2" t="s">
        <v>41</v>
      </c>
      <c r="M37" s="3">
        <v>218.2</v>
      </c>
      <c r="N37" s="3">
        <v>424.64</v>
      </c>
      <c r="O37" s="2" t="s">
        <v>42</v>
      </c>
      <c r="P37" s="3">
        <v>22.21</v>
      </c>
      <c r="Q37" t="str">
        <f t="shared" si="1"/>
        <v>2014-04</v>
      </c>
      <c r="R37" s="3">
        <f t="shared" si="2"/>
        <v>47.300188501413764</v>
      </c>
      <c r="S37" s="2" t="str">
        <f t="shared" si="0"/>
        <v>Success</v>
      </c>
    </row>
    <row r="38" spans="1:19" x14ac:dyDescent="0.3">
      <c r="A38" t="s">
        <v>97</v>
      </c>
      <c r="B38" s="1">
        <v>44714</v>
      </c>
      <c r="C38">
        <v>2022</v>
      </c>
      <c r="D38" s="2" t="s">
        <v>36</v>
      </c>
      <c r="E38" s="2" t="s">
        <v>77</v>
      </c>
      <c r="F38" s="2" t="s">
        <v>33</v>
      </c>
      <c r="G38" t="s">
        <v>46</v>
      </c>
      <c r="H38" s="3">
        <v>42.03</v>
      </c>
      <c r="I38" s="3">
        <v>200.84</v>
      </c>
      <c r="J38" s="3">
        <v>4778.59</v>
      </c>
      <c r="K38" s="1" t="s">
        <v>40</v>
      </c>
      <c r="L38" s="2" t="s">
        <v>22</v>
      </c>
      <c r="M38" s="3">
        <v>229.59</v>
      </c>
      <c r="N38" s="3">
        <v>583.98</v>
      </c>
      <c r="O38" s="2" t="s">
        <v>52</v>
      </c>
      <c r="P38" s="3">
        <v>23.66</v>
      </c>
      <c r="Q38" t="str">
        <f t="shared" si="1"/>
        <v>2022-06</v>
      </c>
      <c r="R38" s="3">
        <f t="shared" si="2"/>
        <v>113.69474185105877</v>
      </c>
      <c r="S38" s="2" t="str">
        <f t="shared" si="0"/>
        <v>Success</v>
      </c>
    </row>
    <row r="39" spans="1:19" x14ac:dyDescent="0.3">
      <c r="A39" t="s">
        <v>98</v>
      </c>
      <c r="B39" s="1">
        <v>41561</v>
      </c>
      <c r="C39">
        <v>2013</v>
      </c>
      <c r="D39" s="2" t="s">
        <v>44</v>
      </c>
      <c r="E39" s="2" t="s">
        <v>99</v>
      </c>
      <c r="F39" s="2" t="s">
        <v>33</v>
      </c>
      <c r="G39" t="s">
        <v>39</v>
      </c>
      <c r="H39" s="3">
        <v>52.28</v>
      </c>
      <c r="I39" s="3">
        <v>68.03</v>
      </c>
      <c r="J39" s="3">
        <v>1301.31</v>
      </c>
      <c r="K39" s="1" t="s">
        <v>40</v>
      </c>
      <c r="L39" s="2" t="s">
        <v>47</v>
      </c>
      <c r="M39" s="3">
        <v>279.37</v>
      </c>
      <c r="N39" s="3">
        <v>321.36</v>
      </c>
      <c r="O39" s="2" t="s">
        <v>42</v>
      </c>
      <c r="P39" s="3">
        <v>32.020000000000003</v>
      </c>
      <c r="Q39" t="str">
        <f t="shared" si="1"/>
        <v>2013-10</v>
      </c>
      <c r="R39" s="3">
        <f t="shared" si="2"/>
        <v>24.89116296863045</v>
      </c>
      <c r="S39" s="2" t="str">
        <f t="shared" si="0"/>
        <v>Success</v>
      </c>
    </row>
    <row r="40" spans="1:19" x14ac:dyDescent="0.3">
      <c r="A40" t="s">
        <v>100</v>
      </c>
      <c r="B40" s="1">
        <v>44987</v>
      </c>
      <c r="C40">
        <v>2022</v>
      </c>
      <c r="D40" s="2" t="s">
        <v>59</v>
      </c>
      <c r="E40" s="2" t="s">
        <v>63</v>
      </c>
      <c r="F40" s="2" t="s">
        <v>38</v>
      </c>
      <c r="G40" t="s">
        <v>27</v>
      </c>
      <c r="H40" s="3">
        <v>81.69</v>
      </c>
      <c r="I40" s="3">
        <v>518.9</v>
      </c>
      <c r="J40" s="3">
        <v>6352.12</v>
      </c>
      <c r="K40" s="1" t="s">
        <v>28</v>
      </c>
      <c r="L40" s="2" t="s">
        <v>29</v>
      </c>
      <c r="M40" s="3">
        <v>257.64</v>
      </c>
      <c r="N40" s="3">
        <v>747.87</v>
      </c>
      <c r="O40" s="2" t="s">
        <v>42</v>
      </c>
      <c r="P40" s="3">
        <v>31.15</v>
      </c>
      <c r="Q40" t="str">
        <f t="shared" si="1"/>
        <v>2023-03</v>
      </c>
      <c r="R40" s="3">
        <f t="shared" si="2"/>
        <v>77.758844411800709</v>
      </c>
      <c r="S40" s="2" t="str">
        <f t="shared" si="0"/>
        <v>Success</v>
      </c>
    </row>
    <row r="41" spans="1:19" x14ac:dyDescent="0.3">
      <c r="A41" t="s">
        <v>101</v>
      </c>
      <c r="B41" s="1">
        <v>44274</v>
      </c>
      <c r="C41">
        <v>2020</v>
      </c>
      <c r="D41" s="2" t="s">
        <v>31</v>
      </c>
      <c r="E41" s="2" t="s">
        <v>82</v>
      </c>
      <c r="F41" s="2" t="s">
        <v>38</v>
      </c>
      <c r="G41" t="s">
        <v>27</v>
      </c>
      <c r="H41" s="3">
        <v>48.98</v>
      </c>
      <c r="I41" s="3">
        <v>119.29</v>
      </c>
      <c r="J41" s="3">
        <v>2435.48</v>
      </c>
      <c r="K41" s="1" t="s">
        <v>28</v>
      </c>
      <c r="L41" s="2" t="s">
        <v>22</v>
      </c>
      <c r="M41" s="3">
        <v>69.37</v>
      </c>
      <c r="N41" s="3">
        <v>485.73</v>
      </c>
      <c r="O41" s="2" t="s">
        <v>70</v>
      </c>
      <c r="P41" s="3">
        <v>25.04</v>
      </c>
      <c r="Q41" t="str">
        <f t="shared" si="1"/>
        <v>2021-03</v>
      </c>
      <c r="R41" s="3">
        <f t="shared" si="2"/>
        <v>49.723968966925277</v>
      </c>
      <c r="S41" s="2" t="str">
        <f t="shared" si="0"/>
        <v>Success</v>
      </c>
    </row>
    <row r="42" spans="1:19" x14ac:dyDescent="0.3">
      <c r="A42" t="s">
        <v>102</v>
      </c>
      <c r="B42" s="1">
        <v>41686</v>
      </c>
      <c r="C42">
        <v>2013</v>
      </c>
      <c r="D42" s="2" t="s">
        <v>103</v>
      </c>
      <c r="E42" s="2" t="s">
        <v>104</v>
      </c>
      <c r="F42" s="2" t="s">
        <v>38</v>
      </c>
      <c r="G42" t="s">
        <v>39</v>
      </c>
      <c r="H42" s="3">
        <v>16.13</v>
      </c>
      <c r="I42" s="3">
        <v>36.840000000000003</v>
      </c>
      <c r="J42" s="3">
        <v>2283.7199999999998</v>
      </c>
      <c r="K42" s="1" t="s">
        <v>28</v>
      </c>
      <c r="L42" s="2" t="s">
        <v>29</v>
      </c>
      <c r="M42" s="3">
        <v>151.9</v>
      </c>
      <c r="N42" s="3">
        <v>742.61</v>
      </c>
      <c r="O42" s="2" t="s">
        <v>52</v>
      </c>
      <c r="P42" s="3">
        <v>20.93</v>
      </c>
      <c r="Q42" t="str">
        <f t="shared" si="1"/>
        <v>2014-02</v>
      </c>
      <c r="R42" s="3">
        <f t="shared" si="2"/>
        <v>141.58214507129571</v>
      </c>
      <c r="S42" s="2" t="str">
        <f t="shared" si="0"/>
        <v>Success</v>
      </c>
    </row>
    <row r="43" spans="1:19" x14ac:dyDescent="0.3">
      <c r="A43" t="s">
        <v>105</v>
      </c>
      <c r="B43" s="1">
        <v>44487</v>
      </c>
      <c r="C43">
        <v>2021</v>
      </c>
      <c r="D43" s="2" t="s">
        <v>44</v>
      </c>
      <c r="E43" s="2" t="s">
        <v>67</v>
      </c>
      <c r="F43" s="2" t="s">
        <v>33</v>
      </c>
      <c r="G43" t="s">
        <v>27</v>
      </c>
      <c r="H43" s="3">
        <v>38.659999999999997</v>
      </c>
      <c r="I43" s="3">
        <v>40.03</v>
      </c>
      <c r="J43" s="3">
        <v>1035.3800000000001</v>
      </c>
      <c r="K43" s="1" t="s">
        <v>34</v>
      </c>
      <c r="L43" s="2" t="s">
        <v>47</v>
      </c>
      <c r="M43" s="3">
        <v>124.65</v>
      </c>
      <c r="N43" s="3">
        <v>589.99</v>
      </c>
      <c r="O43" s="2" t="s">
        <v>52</v>
      </c>
      <c r="P43" s="3">
        <v>28.07</v>
      </c>
      <c r="Q43" t="str">
        <f t="shared" si="1"/>
        <v>2021-10</v>
      </c>
      <c r="R43" s="3">
        <f t="shared" si="2"/>
        <v>26.781686497672016</v>
      </c>
      <c r="S43" s="2" t="str">
        <f t="shared" si="0"/>
        <v>Success</v>
      </c>
    </row>
    <row r="44" spans="1:19" x14ac:dyDescent="0.3">
      <c r="A44" t="s">
        <v>106</v>
      </c>
      <c r="B44" s="1">
        <v>41715</v>
      </c>
      <c r="C44">
        <v>2013</v>
      </c>
      <c r="D44" s="2" t="s">
        <v>103</v>
      </c>
      <c r="E44" s="2" t="s">
        <v>107</v>
      </c>
      <c r="F44" s="2" t="s">
        <v>38</v>
      </c>
      <c r="G44" t="s">
        <v>46</v>
      </c>
      <c r="H44" s="3">
        <v>49.08</v>
      </c>
      <c r="I44" s="3">
        <v>163.59</v>
      </c>
      <c r="J44" s="3">
        <v>3333.14</v>
      </c>
      <c r="K44" s="1" t="s">
        <v>28</v>
      </c>
      <c r="L44" s="2" t="s">
        <v>22</v>
      </c>
      <c r="M44" s="3">
        <v>231.05</v>
      </c>
      <c r="N44" s="3">
        <v>1040.51</v>
      </c>
      <c r="O44" s="2" t="s">
        <v>42</v>
      </c>
      <c r="P44" s="3">
        <v>34.71</v>
      </c>
      <c r="Q44" t="str">
        <f t="shared" si="1"/>
        <v>2014-03</v>
      </c>
      <c r="R44" s="3">
        <f t="shared" si="2"/>
        <v>67.912387938060306</v>
      </c>
      <c r="S44" s="2" t="str">
        <f t="shared" si="0"/>
        <v>Success</v>
      </c>
    </row>
    <row r="45" spans="1:19" x14ac:dyDescent="0.3">
      <c r="A45" t="s">
        <v>108</v>
      </c>
      <c r="B45" s="1">
        <v>43576</v>
      </c>
      <c r="C45">
        <v>2019</v>
      </c>
      <c r="D45" s="2" t="s">
        <v>36</v>
      </c>
      <c r="E45" s="2" t="s">
        <v>77</v>
      </c>
      <c r="F45" s="2" t="s">
        <v>19</v>
      </c>
      <c r="G45" t="s">
        <v>64</v>
      </c>
      <c r="H45" s="3">
        <v>9.31</v>
      </c>
      <c r="I45" s="3">
        <v>33.25</v>
      </c>
      <c r="J45" s="3">
        <v>3571.68</v>
      </c>
      <c r="K45" s="1" t="s">
        <v>28</v>
      </c>
      <c r="L45" s="2" t="s">
        <v>49</v>
      </c>
      <c r="M45" s="3">
        <v>95.43</v>
      </c>
      <c r="N45" s="3">
        <v>460.16</v>
      </c>
      <c r="O45" s="2" t="s">
        <v>70</v>
      </c>
      <c r="P45" s="3">
        <v>23.17</v>
      </c>
      <c r="Q45" t="str">
        <f t="shared" si="1"/>
        <v>2019-04</v>
      </c>
      <c r="R45" s="3">
        <f t="shared" si="2"/>
        <v>383.63909774436087</v>
      </c>
      <c r="S45" s="2" t="str">
        <f t="shared" si="0"/>
        <v>Success</v>
      </c>
    </row>
    <row r="46" spans="1:19" x14ac:dyDescent="0.3">
      <c r="A46" t="s">
        <v>109</v>
      </c>
      <c r="B46" s="1">
        <v>41954</v>
      </c>
      <c r="C46">
        <v>2014</v>
      </c>
      <c r="D46" s="2" t="s">
        <v>44</v>
      </c>
      <c r="E46" s="2" t="s">
        <v>99</v>
      </c>
      <c r="F46" s="2" t="s">
        <v>38</v>
      </c>
      <c r="G46" t="s">
        <v>20</v>
      </c>
      <c r="H46" s="3">
        <v>83.66</v>
      </c>
      <c r="I46" s="3">
        <v>319.74</v>
      </c>
      <c r="J46" s="3">
        <v>3821.84</v>
      </c>
      <c r="K46" s="1" t="s">
        <v>21</v>
      </c>
      <c r="L46" s="2" t="s">
        <v>22</v>
      </c>
      <c r="M46" s="3">
        <v>299.98</v>
      </c>
      <c r="N46" s="3">
        <v>549.96</v>
      </c>
      <c r="O46" s="2" t="s">
        <v>23</v>
      </c>
      <c r="P46" s="3">
        <v>31.72</v>
      </c>
      <c r="Q46" t="str">
        <f t="shared" si="1"/>
        <v>2014-11</v>
      </c>
      <c r="R46" s="3">
        <f t="shared" si="2"/>
        <v>45.683002629691615</v>
      </c>
      <c r="S46" s="2" t="str">
        <f t="shared" si="0"/>
        <v>Success</v>
      </c>
    </row>
    <row r="47" spans="1:19" x14ac:dyDescent="0.3">
      <c r="A47" t="s">
        <v>110</v>
      </c>
      <c r="B47" s="1">
        <v>40279</v>
      </c>
      <c r="C47">
        <v>2010</v>
      </c>
      <c r="D47" s="2" t="s">
        <v>103</v>
      </c>
      <c r="E47" s="2" t="s">
        <v>104</v>
      </c>
      <c r="F47" s="2" t="s">
        <v>19</v>
      </c>
      <c r="G47" t="s">
        <v>56</v>
      </c>
      <c r="H47" s="3">
        <v>24.62</v>
      </c>
      <c r="I47" s="3">
        <v>94.57</v>
      </c>
      <c r="J47" s="3">
        <v>3841.37</v>
      </c>
      <c r="K47" s="1" t="s">
        <v>21</v>
      </c>
      <c r="L47" s="2" t="s">
        <v>47</v>
      </c>
      <c r="M47" s="3">
        <v>190.99</v>
      </c>
      <c r="N47" s="3">
        <v>417.96</v>
      </c>
      <c r="O47" s="2" t="s">
        <v>70</v>
      </c>
      <c r="P47" s="3">
        <v>31.5</v>
      </c>
      <c r="Q47" t="str">
        <f t="shared" si="1"/>
        <v>2010-04</v>
      </c>
      <c r="R47" s="3">
        <f t="shared" si="2"/>
        <v>156.02640129975629</v>
      </c>
      <c r="S47" s="2" t="str">
        <f t="shared" si="0"/>
        <v>Success</v>
      </c>
    </row>
    <row r="48" spans="1:19" x14ac:dyDescent="0.3">
      <c r="A48" t="s">
        <v>111</v>
      </c>
      <c r="B48" s="1">
        <v>44398</v>
      </c>
      <c r="C48">
        <v>2021</v>
      </c>
      <c r="D48" s="2" t="s">
        <v>59</v>
      </c>
      <c r="E48" s="2" t="s">
        <v>93</v>
      </c>
      <c r="F48" s="2" t="s">
        <v>33</v>
      </c>
      <c r="G48" t="s">
        <v>56</v>
      </c>
      <c r="H48" s="3">
        <v>96.51</v>
      </c>
      <c r="I48" s="3">
        <v>159.11000000000001</v>
      </c>
      <c r="J48" s="3">
        <v>1648.59</v>
      </c>
      <c r="K48" s="1" t="s">
        <v>21</v>
      </c>
      <c r="L48" s="2" t="s">
        <v>22</v>
      </c>
      <c r="M48" s="3">
        <v>282.22000000000003</v>
      </c>
      <c r="N48" s="3">
        <v>775.8</v>
      </c>
      <c r="O48" s="2" t="s">
        <v>52</v>
      </c>
      <c r="P48" s="3">
        <v>25.95</v>
      </c>
      <c r="Q48" t="str">
        <f t="shared" si="1"/>
        <v>2021-07</v>
      </c>
      <c r="R48" s="3">
        <f t="shared" si="2"/>
        <v>17.082064034815044</v>
      </c>
      <c r="S48" s="2" t="str">
        <f t="shared" si="0"/>
        <v>Success</v>
      </c>
    </row>
    <row r="49" spans="1:19" x14ac:dyDescent="0.3">
      <c r="A49" t="s">
        <v>112</v>
      </c>
      <c r="B49" s="1">
        <v>44092</v>
      </c>
      <c r="C49">
        <v>2020</v>
      </c>
      <c r="D49" s="2" t="s">
        <v>59</v>
      </c>
      <c r="E49" s="2" t="s">
        <v>93</v>
      </c>
      <c r="F49" s="2" t="s">
        <v>33</v>
      </c>
      <c r="G49" t="s">
        <v>64</v>
      </c>
      <c r="H49" s="3">
        <v>70.02</v>
      </c>
      <c r="I49" s="3">
        <v>196.72</v>
      </c>
      <c r="J49" s="3">
        <v>2809.5</v>
      </c>
      <c r="K49" s="1" t="s">
        <v>21</v>
      </c>
      <c r="L49" s="2" t="s">
        <v>49</v>
      </c>
      <c r="M49" s="3">
        <v>249.06</v>
      </c>
      <c r="N49" s="3">
        <v>765.93</v>
      </c>
      <c r="O49" s="2" t="s">
        <v>23</v>
      </c>
      <c r="P49" s="3">
        <v>25.21</v>
      </c>
      <c r="Q49" t="str">
        <f t="shared" si="1"/>
        <v>2020-09</v>
      </c>
      <c r="R49" s="3">
        <f t="shared" si="2"/>
        <v>40.12425021422451</v>
      </c>
      <c r="S49" s="2" t="str">
        <f t="shared" si="0"/>
        <v>Success</v>
      </c>
    </row>
    <row r="50" spans="1:19" x14ac:dyDescent="0.3">
      <c r="A50" t="s">
        <v>113</v>
      </c>
      <c r="B50" s="1">
        <v>44247</v>
      </c>
      <c r="C50">
        <v>2020</v>
      </c>
      <c r="D50" s="2" t="s">
        <v>25</v>
      </c>
      <c r="E50" s="2" t="s">
        <v>69</v>
      </c>
      <c r="F50" s="2" t="s">
        <v>38</v>
      </c>
      <c r="G50" t="s">
        <v>64</v>
      </c>
      <c r="H50" s="3">
        <v>85.11</v>
      </c>
      <c r="I50" s="3">
        <v>505.04</v>
      </c>
      <c r="J50" s="3">
        <v>5933.99</v>
      </c>
      <c r="K50" s="1" t="s">
        <v>21</v>
      </c>
      <c r="L50" s="2" t="s">
        <v>41</v>
      </c>
      <c r="M50" s="3">
        <v>158.38</v>
      </c>
      <c r="N50" s="3">
        <v>562.19000000000005</v>
      </c>
      <c r="O50" s="2" t="s">
        <v>52</v>
      </c>
      <c r="P50" s="3">
        <v>30.61</v>
      </c>
      <c r="Q50" t="str">
        <f t="shared" si="1"/>
        <v>2021-02</v>
      </c>
      <c r="R50" s="3">
        <f t="shared" si="2"/>
        <v>69.721419339678064</v>
      </c>
      <c r="S50" s="2" t="str">
        <f t="shared" si="0"/>
        <v>Success</v>
      </c>
    </row>
    <row r="51" spans="1:19" x14ac:dyDescent="0.3">
      <c r="A51" t="s">
        <v>114</v>
      </c>
      <c r="B51" s="1">
        <v>44198</v>
      </c>
      <c r="C51">
        <v>2020</v>
      </c>
      <c r="D51" s="2" t="s">
        <v>17</v>
      </c>
      <c r="E51" s="2" t="s">
        <v>54</v>
      </c>
      <c r="F51" s="2" t="s">
        <v>38</v>
      </c>
      <c r="G51" t="s">
        <v>27</v>
      </c>
      <c r="H51" s="3">
        <v>81.010000000000005</v>
      </c>
      <c r="I51" s="3">
        <v>342.59</v>
      </c>
      <c r="J51" s="3">
        <v>4229.04</v>
      </c>
      <c r="K51" s="1" t="s">
        <v>28</v>
      </c>
      <c r="L51" s="2" t="s">
        <v>22</v>
      </c>
      <c r="M51" s="3">
        <v>166.22</v>
      </c>
      <c r="N51" s="3">
        <v>1025.73</v>
      </c>
      <c r="O51" s="2" t="s">
        <v>61</v>
      </c>
      <c r="P51" s="3">
        <v>24.03</v>
      </c>
      <c r="Q51" t="str">
        <f t="shared" si="1"/>
        <v>2021-01</v>
      </c>
      <c r="R51" s="3">
        <f t="shared" si="2"/>
        <v>52.203925441303539</v>
      </c>
      <c r="S51" s="2" t="str">
        <f t="shared" si="0"/>
        <v>Success</v>
      </c>
    </row>
    <row r="52" spans="1:19" x14ac:dyDescent="0.3">
      <c r="A52" t="s">
        <v>115</v>
      </c>
      <c r="B52" s="1">
        <v>41645</v>
      </c>
      <c r="C52">
        <v>2013</v>
      </c>
      <c r="D52" s="2" t="s">
        <v>31</v>
      </c>
      <c r="E52" s="2" t="s">
        <v>32</v>
      </c>
      <c r="F52" s="2" t="s">
        <v>38</v>
      </c>
      <c r="G52" t="s">
        <v>27</v>
      </c>
      <c r="H52" s="3">
        <v>61.42</v>
      </c>
      <c r="I52" s="3">
        <v>201.09</v>
      </c>
      <c r="J52" s="3">
        <v>3273.94</v>
      </c>
      <c r="K52" s="1" t="s">
        <v>21</v>
      </c>
      <c r="L52" s="2" t="s">
        <v>49</v>
      </c>
      <c r="M52" s="3">
        <v>173.58</v>
      </c>
      <c r="N52" s="3">
        <v>525.01</v>
      </c>
      <c r="O52" s="2" t="s">
        <v>52</v>
      </c>
      <c r="P52" s="3">
        <v>23.18</v>
      </c>
      <c r="Q52" t="str">
        <f t="shared" si="1"/>
        <v>2014-01</v>
      </c>
      <c r="R52" s="3">
        <f t="shared" si="2"/>
        <v>53.30413546076197</v>
      </c>
      <c r="S52" s="2" t="str">
        <f t="shared" si="0"/>
        <v>Success</v>
      </c>
    </row>
    <row r="53" spans="1:19" x14ac:dyDescent="0.3">
      <c r="A53" t="s">
        <v>116</v>
      </c>
      <c r="B53" s="1">
        <v>44622</v>
      </c>
      <c r="C53">
        <v>2021</v>
      </c>
      <c r="D53" s="2" t="s">
        <v>31</v>
      </c>
      <c r="E53" s="2" t="s">
        <v>117</v>
      </c>
      <c r="F53" s="2" t="s">
        <v>38</v>
      </c>
      <c r="G53" t="s">
        <v>27</v>
      </c>
      <c r="H53" s="3">
        <v>2</v>
      </c>
      <c r="I53" s="3">
        <v>13.38</v>
      </c>
      <c r="J53" s="3">
        <v>6688.38</v>
      </c>
      <c r="K53" s="1" t="s">
        <v>21</v>
      </c>
      <c r="L53" s="2" t="s">
        <v>29</v>
      </c>
      <c r="M53" s="3">
        <v>110.34</v>
      </c>
      <c r="N53" s="3">
        <v>606.42999999999995</v>
      </c>
      <c r="O53" s="2" t="s">
        <v>61</v>
      </c>
      <c r="P53" s="3">
        <v>31.37</v>
      </c>
      <c r="Q53" t="str">
        <f t="shared" si="1"/>
        <v>2022-03</v>
      </c>
      <c r="R53" s="3">
        <f t="shared" si="2"/>
        <v>3344.19</v>
      </c>
      <c r="S53" s="2" t="str">
        <f t="shared" si="0"/>
        <v>Success</v>
      </c>
    </row>
    <row r="54" spans="1:19" x14ac:dyDescent="0.3">
      <c r="A54" t="s">
        <v>118</v>
      </c>
      <c r="B54" s="1">
        <v>40988</v>
      </c>
      <c r="C54">
        <v>2011</v>
      </c>
      <c r="D54" s="2" t="s">
        <v>36</v>
      </c>
      <c r="E54" s="2" t="s">
        <v>37</v>
      </c>
      <c r="F54" s="2" t="s">
        <v>38</v>
      </c>
      <c r="G54" t="s">
        <v>56</v>
      </c>
      <c r="H54" s="3">
        <v>41.04</v>
      </c>
      <c r="I54" s="3">
        <v>100.95</v>
      </c>
      <c r="J54" s="3">
        <v>2459.83</v>
      </c>
      <c r="K54" s="1" t="s">
        <v>34</v>
      </c>
      <c r="L54" s="2" t="s">
        <v>49</v>
      </c>
      <c r="M54" s="3">
        <v>168.32</v>
      </c>
      <c r="N54" s="3">
        <v>730.92</v>
      </c>
      <c r="O54" s="2" t="s">
        <v>52</v>
      </c>
      <c r="P54" s="3">
        <v>34.950000000000003</v>
      </c>
      <c r="Q54" t="str">
        <f t="shared" si="1"/>
        <v>2012-03</v>
      </c>
      <c r="R54" s="3">
        <f t="shared" si="2"/>
        <v>59.937378167641327</v>
      </c>
      <c r="S54" s="2" t="str">
        <f t="shared" si="0"/>
        <v>Success</v>
      </c>
    </row>
    <row r="55" spans="1:19" x14ac:dyDescent="0.3">
      <c r="A55" t="s">
        <v>119</v>
      </c>
      <c r="B55" s="1">
        <v>43163</v>
      </c>
      <c r="C55">
        <v>2017</v>
      </c>
      <c r="D55" s="2" t="s">
        <v>31</v>
      </c>
      <c r="E55" s="2" t="s">
        <v>117</v>
      </c>
      <c r="F55" s="2" t="s">
        <v>38</v>
      </c>
      <c r="G55" t="s">
        <v>20</v>
      </c>
      <c r="H55" s="3">
        <v>25.89</v>
      </c>
      <c r="I55" s="3">
        <v>44.63</v>
      </c>
      <c r="J55" s="3">
        <v>1723.94</v>
      </c>
      <c r="K55" s="1" t="s">
        <v>40</v>
      </c>
      <c r="L55" s="2" t="s">
        <v>49</v>
      </c>
      <c r="M55" s="3">
        <v>128.88999999999999</v>
      </c>
      <c r="N55" s="3">
        <v>942.88</v>
      </c>
      <c r="O55" s="2" t="s">
        <v>42</v>
      </c>
      <c r="P55" s="3">
        <v>22.87</v>
      </c>
      <c r="Q55" t="str">
        <f t="shared" si="1"/>
        <v>2018-03</v>
      </c>
      <c r="R55" s="3">
        <f t="shared" si="2"/>
        <v>66.587099266125918</v>
      </c>
      <c r="S55" s="2" t="str">
        <f t="shared" si="0"/>
        <v>Success</v>
      </c>
    </row>
    <row r="56" spans="1:19" x14ac:dyDescent="0.3">
      <c r="A56" t="s">
        <v>120</v>
      </c>
      <c r="B56" s="1">
        <v>44686</v>
      </c>
      <c r="C56">
        <v>2022</v>
      </c>
      <c r="D56" s="2" t="s">
        <v>17</v>
      </c>
      <c r="E56" s="2" t="s">
        <v>54</v>
      </c>
      <c r="F56" s="2" t="s">
        <v>19</v>
      </c>
      <c r="G56" t="s">
        <v>27</v>
      </c>
      <c r="H56" s="3">
        <v>29.02</v>
      </c>
      <c r="I56" s="3">
        <v>46.52</v>
      </c>
      <c r="J56" s="3">
        <v>1603.16</v>
      </c>
      <c r="K56" s="1" t="s">
        <v>40</v>
      </c>
      <c r="L56" s="2" t="s">
        <v>41</v>
      </c>
      <c r="M56" s="3">
        <v>124.06</v>
      </c>
      <c r="N56" s="3">
        <v>560.88</v>
      </c>
      <c r="O56" s="2" t="s">
        <v>70</v>
      </c>
      <c r="P56" s="3">
        <v>20.21</v>
      </c>
      <c r="Q56" t="str">
        <f t="shared" si="1"/>
        <v>2022-05</v>
      </c>
      <c r="R56" s="3">
        <f t="shared" si="2"/>
        <v>55.243280496209515</v>
      </c>
      <c r="S56" s="2" t="str">
        <f t="shared" si="0"/>
        <v>Success</v>
      </c>
    </row>
    <row r="57" spans="1:19" x14ac:dyDescent="0.3">
      <c r="A57" t="s">
        <v>121</v>
      </c>
      <c r="B57" s="1">
        <v>40297</v>
      </c>
      <c r="C57">
        <v>2010</v>
      </c>
      <c r="D57" s="2" t="s">
        <v>31</v>
      </c>
      <c r="E57" s="2" t="s">
        <v>82</v>
      </c>
      <c r="F57" s="2" t="s">
        <v>19</v>
      </c>
      <c r="G57" t="s">
        <v>20</v>
      </c>
      <c r="H57" s="3">
        <v>70.040000000000006</v>
      </c>
      <c r="I57" s="3">
        <v>123.11</v>
      </c>
      <c r="J57" s="3">
        <v>1757.68</v>
      </c>
      <c r="K57" s="1" t="s">
        <v>28</v>
      </c>
      <c r="L57" s="2" t="s">
        <v>49</v>
      </c>
      <c r="M57" s="3">
        <v>75.650000000000006</v>
      </c>
      <c r="N57" s="3">
        <v>212.27</v>
      </c>
      <c r="O57" s="2" t="s">
        <v>70</v>
      </c>
      <c r="P57" s="3">
        <v>27.04</v>
      </c>
      <c r="Q57" t="str">
        <f t="shared" si="1"/>
        <v>2010-04</v>
      </c>
      <c r="R57" s="3">
        <f t="shared" si="2"/>
        <v>25.095374071958879</v>
      </c>
      <c r="S57" s="2" t="str">
        <f t="shared" si="0"/>
        <v>Success</v>
      </c>
    </row>
    <row r="58" spans="1:19" x14ac:dyDescent="0.3">
      <c r="A58" t="s">
        <v>122</v>
      </c>
      <c r="B58" s="1">
        <v>42088</v>
      </c>
      <c r="C58">
        <v>2014</v>
      </c>
      <c r="D58" s="2" t="s">
        <v>103</v>
      </c>
      <c r="E58" s="2" t="s">
        <v>104</v>
      </c>
      <c r="F58" s="2" t="s">
        <v>38</v>
      </c>
      <c r="G58" t="s">
        <v>64</v>
      </c>
      <c r="H58" s="3">
        <v>82.39</v>
      </c>
      <c r="I58" s="3">
        <v>280.48</v>
      </c>
      <c r="J58" s="3">
        <v>3404.24</v>
      </c>
      <c r="K58" s="1" t="s">
        <v>21</v>
      </c>
      <c r="L58" s="2" t="s">
        <v>49</v>
      </c>
      <c r="M58" s="3">
        <v>194.26</v>
      </c>
      <c r="N58" s="3">
        <v>886.45</v>
      </c>
      <c r="O58" s="2" t="s">
        <v>42</v>
      </c>
      <c r="P58" s="3">
        <v>22.24</v>
      </c>
      <c r="Q58" t="str">
        <f t="shared" si="1"/>
        <v>2015-03</v>
      </c>
      <c r="R58" s="3">
        <f t="shared" si="2"/>
        <v>41.318606627017836</v>
      </c>
      <c r="S58" s="2" t="str">
        <f t="shared" si="0"/>
        <v>Success</v>
      </c>
    </row>
    <row r="59" spans="1:19" x14ac:dyDescent="0.3">
      <c r="A59" t="s">
        <v>123</v>
      </c>
      <c r="B59" s="1">
        <v>40671</v>
      </c>
      <c r="C59">
        <v>2011</v>
      </c>
      <c r="D59" s="2" t="s">
        <v>25</v>
      </c>
      <c r="E59" s="2" t="s">
        <v>26</v>
      </c>
      <c r="F59" s="2" t="s">
        <v>19</v>
      </c>
      <c r="G59" t="s">
        <v>46</v>
      </c>
      <c r="H59" s="3">
        <v>61.03</v>
      </c>
      <c r="I59" s="3">
        <v>350.58</v>
      </c>
      <c r="J59" s="3">
        <v>5744.44</v>
      </c>
      <c r="K59" s="1" t="s">
        <v>40</v>
      </c>
      <c r="L59" s="2" t="s">
        <v>29</v>
      </c>
      <c r="M59" s="3">
        <v>243.92</v>
      </c>
      <c r="N59" s="3">
        <v>580.38</v>
      </c>
      <c r="O59" s="2" t="s">
        <v>52</v>
      </c>
      <c r="P59" s="3">
        <v>24.46</v>
      </c>
      <c r="Q59" t="str">
        <f t="shared" si="1"/>
        <v>2011-05</v>
      </c>
      <c r="R59" s="3">
        <f t="shared" si="2"/>
        <v>94.124856627887922</v>
      </c>
      <c r="S59" s="2" t="str">
        <f t="shared" si="0"/>
        <v>Success</v>
      </c>
    </row>
    <row r="60" spans="1:19" x14ac:dyDescent="0.3">
      <c r="A60" t="s">
        <v>124</v>
      </c>
      <c r="B60" s="1">
        <v>43661</v>
      </c>
      <c r="C60">
        <v>2019</v>
      </c>
      <c r="D60" s="2" t="s">
        <v>31</v>
      </c>
      <c r="E60" s="2" t="s">
        <v>117</v>
      </c>
      <c r="F60" s="2" t="s">
        <v>33</v>
      </c>
      <c r="G60" t="s">
        <v>27</v>
      </c>
      <c r="H60" s="3">
        <v>96.05</v>
      </c>
      <c r="I60" s="3">
        <v>153.24</v>
      </c>
      <c r="J60" s="3">
        <v>1595.4</v>
      </c>
      <c r="K60" s="1" t="s">
        <v>40</v>
      </c>
      <c r="L60" s="2" t="s">
        <v>47</v>
      </c>
      <c r="M60" s="3">
        <v>206.38</v>
      </c>
      <c r="N60" s="3">
        <v>464.65</v>
      </c>
      <c r="O60" s="2" t="s">
        <v>23</v>
      </c>
      <c r="P60" s="3">
        <v>22.36</v>
      </c>
      <c r="Q60" t="str">
        <f t="shared" si="1"/>
        <v>2019-07</v>
      </c>
      <c r="R60" s="3">
        <f t="shared" si="2"/>
        <v>16.610098906819367</v>
      </c>
      <c r="S60" s="2" t="str">
        <f t="shared" si="0"/>
        <v>Success</v>
      </c>
    </row>
    <row r="61" spans="1:19" x14ac:dyDescent="0.3">
      <c r="A61" t="s">
        <v>125</v>
      </c>
      <c r="B61" s="1">
        <v>40542</v>
      </c>
      <c r="C61">
        <v>2010</v>
      </c>
      <c r="D61" s="2" t="s">
        <v>25</v>
      </c>
      <c r="E61" s="2" t="s">
        <v>26</v>
      </c>
      <c r="F61" s="2" t="s">
        <v>38</v>
      </c>
      <c r="G61" t="s">
        <v>46</v>
      </c>
      <c r="H61" s="3">
        <v>69.25</v>
      </c>
      <c r="I61" s="3">
        <v>264.5</v>
      </c>
      <c r="J61" s="3">
        <v>3819.47</v>
      </c>
      <c r="K61" s="1" t="s">
        <v>21</v>
      </c>
      <c r="L61" s="2" t="s">
        <v>49</v>
      </c>
      <c r="M61" s="3">
        <v>107.87</v>
      </c>
      <c r="N61" s="3">
        <v>906.96</v>
      </c>
      <c r="O61" s="2" t="s">
        <v>52</v>
      </c>
      <c r="P61" s="3">
        <v>21.07</v>
      </c>
      <c r="Q61" t="str">
        <f t="shared" si="1"/>
        <v>2010-12</v>
      </c>
      <c r="R61" s="3">
        <f t="shared" si="2"/>
        <v>55.154801444043315</v>
      </c>
      <c r="S61" s="2" t="str">
        <f t="shared" si="0"/>
        <v>Success</v>
      </c>
    </row>
    <row r="62" spans="1:19" x14ac:dyDescent="0.3">
      <c r="A62" t="s">
        <v>126</v>
      </c>
      <c r="B62" s="1">
        <v>43606</v>
      </c>
      <c r="C62">
        <v>2019</v>
      </c>
      <c r="D62" s="2" t="s">
        <v>44</v>
      </c>
      <c r="E62" s="2" t="s">
        <v>67</v>
      </c>
      <c r="F62" s="2" t="s">
        <v>19</v>
      </c>
      <c r="G62" t="s">
        <v>56</v>
      </c>
      <c r="H62" s="3">
        <v>43.09</v>
      </c>
      <c r="I62" s="3">
        <v>183.88</v>
      </c>
      <c r="J62" s="3">
        <v>4267.37</v>
      </c>
      <c r="K62" s="1" t="s">
        <v>40</v>
      </c>
      <c r="L62" s="2" t="s">
        <v>49</v>
      </c>
      <c r="M62" s="3">
        <v>277.10000000000002</v>
      </c>
      <c r="N62" s="3">
        <v>1026.6300000000001</v>
      </c>
      <c r="O62" s="2" t="s">
        <v>23</v>
      </c>
      <c r="P62" s="3">
        <v>20.89</v>
      </c>
      <c r="Q62" t="str">
        <f t="shared" si="1"/>
        <v>2019-05</v>
      </c>
      <c r="R62" s="3">
        <f t="shared" si="2"/>
        <v>99.033882571362255</v>
      </c>
      <c r="S62" s="2" t="str">
        <f t="shared" si="0"/>
        <v>Success</v>
      </c>
    </row>
    <row r="63" spans="1:19" x14ac:dyDescent="0.3">
      <c r="A63" t="s">
        <v>127</v>
      </c>
      <c r="B63" s="1">
        <v>43780</v>
      </c>
      <c r="C63">
        <v>2019</v>
      </c>
      <c r="D63" s="2" t="s">
        <v>59</v>
      </c>
      <c r="E63" s="2" t="s">
        <v>93</v>
      </c>
      <c r="F63" s="2" t="s">
        <v>38</v>
      </c>
      <c r="G63" t="s">
        <v>46</v>
      </c>
      <c r="H63" s="3">
        <v>13.31</v>
      </c>
      <c r="I63" s="3">
        <v>68.31</v>
      </c>
      <c r="J63" s="3">
        <v>5132.07</v>
      </c>
      <c r="K63" s="1" t="s">
        <v>28</v>
      </c>
      <c r="L63" s="2" t="s">
        <v>29</v>
      </c>
      <c r="M63" s="3">
        <v>285.67</v>
      </c>
      <c r="N63" s="3">
        <v>700.47</v>
      </c>
      <c r="O63" s="2" t="s">
        <v>52</v>
      </c>
      <c r="P63" s="3">
        <v>26.57</v>
      </c>
      <c r="Q63" t="str">
        <f t="shared" si="1"/>
        <v>2019-11</v>
      </c>
      <c r="R63" s="3">
        <f t="shared" si="2"/>
        <v>385.580015026296</v>
      </c>
      <c r="S63" s="2" t="str">
        <f t="shared" si="0"/>
        <v>Success</v>
      </c>
    </row>
    <row r="64" spans="1:19" x14ac:dyDescent="0.3">
      <c r="A64" t="s">
        <v>128</v>
      </c>
      <c r="B64" s="1">
        <v>43814</v>
      </c>
      <c r="C64">
        <v>2019</v>
      </c>
      <c r="D64" s="2" t="s">
        <v>17</v>
      </c>
      <c r="E64" s="2" t="s">
        <v>72</v>
      </c>
      <c r="F64" s="2" t="s">
        <v>38</v>
      </c>
      <c r="G64" t="s">
        <v>64</v>
      </c>
      <c r="H64" s="3">
        <v>10.039999999999999</v>
      </c>
      <c r="I64" s="3">
        <v>67.989999999999995</v>
      </c>
      <c r="J64" s="3">
        <v>6771.47</v>
      </c>
      <c r="K64" s="1" t="s">
        <v>21</v>
      </c>
      <c r="L64" s="2" t="s">
        <v>29</v>
      </c>
      <c r="M64" s="3">
        <v>299.89</v>
      </c>
      <c r="N64" s="3">
        <v>872.28</v>
      </c>
      <c r="O64" s="2" t="s">
        <v>70</v>
      </c>
      <c r="P64" s="3">
        <v>28.64</v>
      </c>
      <c r="Q64" t="str">
        <f t="shared" si="1"/>
        <v>2019-12</v>
      </c>
      <c r="R64" s="3">
        <f t="shared" si="2"/>
        <v>674.4492031872511</v>
      </c>
      <c r="S64" s="2" t="str">
        <f t="shared" si="0"/>
        <v>Success</v>
      </c>
    </row>
    <row r="65" spans="1:19" x14ac:dyDescent="0.3">
      <c r="A65" t="s">
        <v>129</v>
      </c>
      <c r="B65" s="1">
        <v>43066</v>
      </c>
      <c r="C65">
        <v>2017</v>
      </c>
      <c r="D65" s="2" t="s">
        <v>59</v>
      </c>
      <c r="E65" s="2" t="s">
        <v>93</v>
      </c>
      <c r="F65" s="2" t="s">
        <v>38</v>
      </c>
      <c r="G65" t="s">
        <v>56</v>
      </c>
      <c r="H65" s="3">
        <v>99.7</v>
      </c>
      <c r="I65" s="3">
        <v>360.45</v>
      </c>
      <c r="J65" s="3">
        <v>3615.31</v>
      </c>
      <c r="K65" s="1" t="s">
        <v>28</v>
      </c>
      <c r="L65" s="2" t="s">
        <v>41</v>
      </c>
      <c r="M65" s="3">
        <v>292.26</v>
      </c>
      <c r="N65" s="3">
        <v>670.01</v>
      </c>
      <c r="O65" s="2" t="s">
        <v>52</v>
      </c>
      <c r="P65" s="3">
        <v>25</v>
      </c>
      <c r="Q65" t="str">
        <f t="shared" si="1"/>
        <v>2017-11</v>
      </c>
      <c r="R65" s="3">
        <f t="shared" si="2"/>
        <v>36.261885656970911</v>
      </c>
      <c r="S65" s="2" t="str">
        <f t="shared" si="0"/>
        <v>Success</v>
      </c>
    </row>
    <row r="66" spans="1:19" x14ac:dyDescent="0.3">
      <c r="A66" t="s">
        <v>130</v>
      </c>
      <c r="B66" s="1">
        <v>44604</v>
      </c>
      <c r="C66">
        <v>2021</v>
      </c>
      <c r="D66" s="2" t="s">
        <v>31</v>
      </c>
      <c r="E66" s="2" t="s">
        <v>32</v>
      </c>
      <c r="F66" s="2" t="s">
        <v>38</v>
      </c>
      <c r="G66" t="s">
        <v>20</v>
      </c>
      <c r="H66" s="3">
        <v>66.599999999999994</v>
      </c>
      <c r="I66" s="3">
        <v>226.62</v>
      </c>
      <c r="J66" s="3">
        <v>3402.71</v>
      </c>
      <c r="K66" s="1" t="s">
        <v>21</v>
      </c>
      <c r="L66" s="2" t="s">
        <v>47</v>
      </c>
      <c r="M66" s="3">
        <v>163.71</v>
      </c>
      <c r="N66" s="3">
        <v>514.52</v>
      </c>
      <c r="O66" s="2" t="s">
        <v>70</v>
      </c>
      <c r="P66" s="3">
        <v>21.74</v>
      </c>
      <c r="Q66" t="str">
        <f t="shared" si="1"/>
        <v>2022-02</v>
      </c>
      <c r="R66" s="3">
        <f t="shared" si="2"/>
        <v>51.09174174174175</v>
      </c>
      <c r="S66" s="2" t="str">
        <f t="shared" ref="S66:S129" si="3">IF(R66&lt;=0, "Failure","Success")</f>
        <v>Success</v>
      </c>
    </row>
    <row r="67" spans="1:19" x14ac:dyDescent="0.3">
      <c r="A67" t="s">
        <v>131</v>
      </c>
      <c r="B67" s="1">
        <v>43935</v>
      </c>
      <c r="C67">
        <v>2020</v>
      </c>
      <c r="D67" s="2" t="s">
        <v>44</v>
      </c>
      <c r="E67" s="2" t="s">
        <v>45</v>
      </c>
      <c r="F67" s="2" t="s">
        <v>19</v>
      </c>
      <c r="G67" t="s">
        <v>46</v>
      </c>
      <c r="H67" s="3">
        <v>41.91</v>
      </c>
      <c r="I67" s="3">
        <v>89.08</v>
      </c>
      <c r="J67" s="3">
        <v>2125.5</v>
      </c>
      <c r="K67" s="1" t="s">
        <v>34</v>
      </c>
      <c r="L67" s="2" t="s">
        <v>49</v>
      </c>
      <c r="M67" s="3">
        <v>205.66</v>
      </c>
      <c r="N67" s="3">
        <v>698.49</v>
      </c>
      <c r="O67" s="2" t="s">
        <v>52</v>
      </c>
      <c r="P67" s="3">
        <v>31.4</v>
      </c>
      <c r="Q67" t="str">
        <f t="shared" ref="Q67:Q130" si="4">TEXT(B67,"yyyy-mm")</f>
        <v>2020-04</v>
      </c>
      <c r="R67" s="3">
        <f t="shared" ref="R67:R130" si="5">J67/H67</f>
        <v>50.715819613457413</v>
      </c>
      <c r="S67" s="2" t="str">
        <f t="shared" si="3"/>
        <v>Success</v>
      </c>
    </row>
    <row r="68" spans="1:19" x14ac:dyDescent="0.3">
      <c r="A68" t="s">
        <v>132</v>
      </c>
      <c r="B68" s="1">
        <v>41967</v>
      </c>
      <c r="C68">
        <v>2014</v>
      </c>
      <c r="D68" s="2" t="s">
        <v>59</v>
      </c>
      <c r="E68" s="2" t="s">
        <v>60</v>
      </c>
      <c r="F68" s="2" t="s">
        <v>38</v>
      </c>
      <c r="G68" t="s">
        <v>39</v>
      </c>
      <c r="H68" s="3">
        <v>48.99</v>
      </c>
      <c r="I68" s="3">
        <v>57.48</v>
      </c>
      <c r="J68" s="3">
        <v>1173.22</v>
      </c>
      <c r="K68" s="1" t="s">
        <v>40</v>
      </c>
      <c r="L68" s="2" t="s">
        <v>41</v>
      </c>
      <c r="M68" s="3">
        <v>227.45</v>
      </c>
      <c r="N68" s="3">
        <v>510.75</v>
      </c>
      <c r="O68" s="2" t="s">
        <v>23</v>
      </c>
      <c r="P68" s="3">
        <v>28.28</v>
      </c>
      <c r="Q68" t="str">
        <f t="shared" si="4"/>
        <v>2014-11</v>
      </c>
      <c r="R68" s="3">
        <f t="shared" si="5"/>
        <v>23.94815268422127</v>
      </c>
      <c r="S68" s="2" t="str">
        <f t="shared" si="3"/>
        <v>Success</v>
      </c>
    </row>
    <row r="69" spans="1:19" x14ac:dyDescent="0.3">
      <c r="A69" t="s">
        <v>133</v>
      </c>
      <c r="B69" s="1">
        <v>42949</v>
      </c>
      <c r="C69">
        <v>2017</v>
      </c>
      <c r="D69" s="2" t="s">
        <v>44</v>
      </c>
      <c r="E69" s="2" t="s">
        <v>45</v>
      </c>
      <c r="F69" s="2" t="s">
        <v>33</v>
      </c>
      <c r="G69" t="s">
        <v>39</v>
      </c>
      <c r="H69" s="3">
        <v>83.38</v>
      </c>
      <c r="I69" s="3">
        <v>332.71</v>
      </c>
      <c r="J69" s="3">
        <v>3990.25</v>
      </c>
      <c r="K69" s="1" t="s">
        <v>34</v>
      </c>
      <c r="L69" s="2" t="s">
        <v>29</v>
      </c>
      <c r="M69" s="3">
        <v>177.22</v>
      </c>
      <c r="N69" s="3">
        <v>473.42</v>
      </c>
      <c r="O69" s="2" t="s">
        <v>52</v>
      </c>
      <c r="P69" s="3">
        <v>34.700000000000003</v>
      </c>
      <c r="Q69" t="str">
        <f t="shared" si="4"/>
        <v>2017-08</v>
      </c>
      <c r="R69" s="3">
        <f t="shared" si="5"/>
        <v>47.856200527704488</v>
      </c>
      <c r="S69" s="2" t="str">
        <f t="shared" si="3"/>
        <v>Success</v>
      </c>
    </row>
    <row r="70" spans="1:19" x14ac:dyDescent="0.3">
      <c r="A70" t="s">
        <v>134</v>
      </c>
      <c r="B70" s="1">
        <v>42651</v>
      </c>
      <c r="C70">
        <v>2016</v>
      </c>
      <c r="D70" s="2" t="s">
        <v>59</v>
      </c>
      <c r="E70" s="2" t="s">
        <v>60</v>
      </c>
      <c r="F70" s="2" t="s">
        <v>33</v>
      </c>
      <c r="G70" t="s">
        <v>27</v>
      </c>
      <c r="H70" s="3">
        <v>51.32</v>
      </c>
      <c r="I70" s="3">
        <v>322.08</v>
      </c>
      <c r="J70" s="3">
        <v>6275.96</v>
      </c>
      <c r="K70" s="1" t="s">
        <v>21</v>
      </c>
      <c r="L70" s="2" t="s">
        <v>49</v>
      </c>
      <c r="M70" s="3">
        <v>119.06</v>
      </c>
      <c r="N70" s="3">
        <v>990.01</v>
      </c>
      <c r="O70" s="2" t="s">
        <v>52</v>
      </c>
      <c r="P70" s="3">
        <v>25.1</v>
      </c>
      <c r="Q70" t="str">
        <f t="shared" si="4"/>
        <v>2016-10</v>
      </c>
      <c r="R70" s="3">
        <f t="shared" si="5"/>
        <v>122.29072486360093</v>
      </c>
      <c r="S70" s="2" t="str">
        <f t="shared" si="3"/>
        <v>Success</v>
      </c>
    </row>
    <row r="71" spans="1:19" x14ac:dyDescent="0.3">
      <c r="A71" t="s">
        <v>135</v>
      </c>
      <c r="B71" s="1">
        <v>41765</v>
      </c>
      <c r="C71">
        <v>2014</v>
      </c>
      <c r="D71" s="2" t="s">
        <v>44</v>
      </c>
      <c r="E71" s="2" t="s">
        <v>45</v>
      </c>
      <c r="F71" s="2" t="s">
        <v>19</v>
      </c>
      <c r="G71" t="s">
        <v>20</v>
      </c>
      <c r="H71" s="3">
        <v>83.91</v>
      </c>
      <c r="I71" s="3">
        <v>375.88</v>
      </c>
      <c r="J71" s="3">
        <v>4479.54</v>
      </c>
      <c r="K71" s="1" t="s">
        <v>28</v>
      </c>
      <c r="L71" s="2" t="s">
        <v>47</v>
      </c>
      <c r="M71" s="3">
        <v>266.32</v>
      </c>
      <c r="N71" s="3">
        <v>646.54999999999995</v>
      </c>
      <c r="O71" s="2" t="s">
        <v>52</v>
      </c>
      <c r="P71" s="3">
        <v>25.18</v>
      </c>
      <c r="Q71" t="str">
        <f t="shared" si="4"/>
        <v>2014-05</v>
      </c>
      <c r="R71" s="3">
        <f t="shared" si="5"/>
        <v>53.385055416517702</v>
      </c>
      <c r="S71" s="2" t="str">
        <f t="shared" si="3"/>
        <v>Success</v>
      </c>
    </row>
    <row r="72" spans="1:19" x14ac:dyDescent="0.3">
      <c r="A72" t="s">
        <v>136</v>
      </c>
      <c r="B72" s="1">
        <v>42194</v>
      </c>
      <c r="C72">
        <v>2015</v>
      </c>
      <c r="D72" s="2" t="s">
        <v>36</v>
      </c>
      <c r="E72" s="2" t="s">
        <v>51</v>
      </c>
      <c r="F72" s="2" t="s">
        <v>33</v>
      </c>
      <c r="G72" t="s">
        <v>39</v>
      </c>
      <c r="H72" s="3">
        <v>24.64</v>
      </c>
      <c r="I72" s="3">
        <v>81.260000000000005</v>
      </c>
      <c r="J72" s="3">
        <v>3297.83</v>
      </c>
      <c r="K72" s="1" t="s">
        <v>28</v>
      </c>
      <c r="L72" s="2" t="s">
        <v>29</v>
      </c>
      <c r="M72" s="3">
        <v>60.91</v>
      </c>
      <c r="N72" s="3">
        <v>944.71</v>
      </c>
      <c r="O72" s="2" t="s">
        <v>52</v>
      </c>
      <c r="P72" s="3">
        <v>25.79</v>
      </c>
      <c r="Q72" t="str">
        <f t="shared" si="4"/>
        <v>2015-07</v>
      </c>
      <c r="R72" s="3">
        <f t="shared" si="5"/>
        <v>133.84050324675323</v>
      </c>
      <c r="S72" s="2" t="str">
        <f t="shared" si="3"/>
        <v>Success</v>
      </c>
    </row>
    <row r="73" spans="1:19" x14ac:dyDescent="0.3">
      <c r="A73" t="s">
        <v>137</v>
      </c>
      <c r="B73" s="1">
        <v>43217</v>
      </c>
      <c r="C73">
        <v>2018</v>
      </c>
      <c r="D73" s="2" t="s">
        <v>25</v>
      </c>
      <c r="E73" s="2" t="s">
        <v>26</v>
      </c>
      <c r="F73" s="2" t="s">
        <v>19</v>
      </c>
      <c r="G73" t="s">
        <v>20</v>
      </c>
      <c r="H73" s="3">
        <v>87.1</v>
      </c>
      <c r="I73" s="3">
        <v>543.95000000000005</v>
      </c>
      <c r="J73" s="3">
        <v>6245.14</v>
      </c>
      <c r="K73" s="1" t="s">
        <v>28</v>
      </c>
      <c r="L73" s="2" t="s">
        <v>41</v>
      </c>
      <c r="M73" s="3">
        <v>74.930000000000007</v>
      </c>
      <c r="N73" s="3">
        <v>1110.44</v>
      </c>
      <c r="O73" s="2" t="s">
        <v>23</v>
      </c>
      <c r="P73" s="3">
        <v>30.84</v>
      </c>
      <c r="Q73" t="str">
        <f t="shared" si="4"/>
        <v>2018-04</v>
      </c>
      <c r="R73" s="3">
        <f t="shared" si="5"/>
        <v>71.700803673938012</v>
      </c>
      <c r="S73" s="2" t="str">
        <f t="shared" si="3"/>
        <v>Success</v>
      </c>
    </row>
    <row r="74" spans="1:19" x14ac:dyDescent="0.3">
      <c r="A74" t="s">
        <v>138</v>
      </c>
      <c r="B74" s="1">
        <v>44947</v>
      </c>
      <c r="C74">
        <v>2022</v>
      </c>
      <c r="D74" s="2" t="s">
        <v>25</v>
      </c>
      <c r="E74" s="2" t="s">
        <v>87</v>
      </c>
      <c r="F74" s="2" t="s">
        <v>38</v>
      </c>
      <c r="G74" t="s">
        <v>20</v>
      </c>
      <c r="H74" s="3">
        <v>62.7</v>
      </c>
      <c r="I74" s="3">
        <v>212.23</v>
      </c>
      <c r="J74" s="3">
        <v>3384.9</v>
      </c>
      <c r="K74" s="1" t="s">
        <v>21</v>
      </c>
      <c r="L74" s="2" t="s">
        <v>29</v>
      </c>
      <c r="M74" s="3">
        <v>262.94</v>
      </c>
      <c r="N74" s="3">
        <v>1052.3399999999999</v>
      </c>
      <c r="O74" s="2" t="s">
        <v>61</v>
      </c>
      <c r="P74" s="3">
        <v>25.7</v>
      </c>
      <c r="Q74" t="str">
        <f t="shared" si="4"/>
        <v>2023-01</v>
      </c>
      <c r="R74" s="3">
        <f t="shared" si="5"/>
        <v>53.985645933014354</v>
      </c>
      <c r="S74" s="2" t="str">
        <f t="shared" si="3"/>
        <v>Success</v>
      </c>
    </row>
    <row r="75" spans="1:19" x14ac:dyDescent="0.3">
      <c r="A75" t="s">
        <v>139</v>
      </c>
      <c r="B75" s="1">
        <v>40317</v>
      </c>
      <c r="C75">
        <v>2010</v>
      </c>
      <c r="D75" s="2" t="s">
        <v>44</v>
      </c>
      <c r="E75" s="2" t="s">
        <v>67</v>
      </c>
      <c r="F75" s="2" t="s">
        <v>19</v>
      </c>
      <c r="G75" t="s">
        <v>64</v>
      </c>
      <c r="H75" s="3">
        <v>24.24</v>
      </c>
      <c r="I75" s="3">
        <v>123.78</v>
      </c>
      <c r="J75" s="3">
        <v>5106.3999999999996</v>
      </c>
      <c r="K75" s="1" t="s">
        <v>34</v>
      </c>
      <c r="L75" s="2" t="s">
        <v>22</v>
      </c>
      <c r="M75" s="3">
        <v>299.36</v>
      </c>
      <c r="N75" s="3">
        <v>946.77</v>
      </c>
      <c r="O75" s="2" t="s">
        <v>52</v>
      </c>
      <c r="P75" s="3">
        <v>34.68</v>
      </c>
      <c r="Q75" t="str">
        <f t="shared" si="4"/>
        <v>2010-05</v>
      </c>
      <c r="R75" s="3">
        <f t="shared" si="5"/>
        <v>210.66006600660066</v>
      </c>
      <c r="S75" s="2" t="str">
        <f t="shared" si="3"/>
        <v>Success</v>
      </c>
    </row>
    <row r="76" spans="1:19" x14ac:dyDescent="0.3">
      <c r="A76" t="s">
        <v>140</v>
      </c>
      <c r="B76" s="1">
        <v>44645</v>
      </c>
      <c r="C76">
        <v>2021</v>
      </c>
      <c r="D76" s="2" t="s">
        <v>36</v>
      </c>
      <c r="E76" s="2" t="s">
        <v>37</v>
      </c>
      <c r="F76" s="2" t="s">
        <v>38</v>
      </c>
      <c r="G76" t="s">
        <v>64</v>
      </c>
      <c r="H76" s="3">
        <v>5.55</v>
      </c>
      <c r="I76" s="3">
        <v>32.06</v>
      </c>
      <c r="J76" s="3">
        <v>5776.86</v>
      </c>
      <c r="K76" s="1" t="s">
        <v>34</v>
      </c>
      <c r="L76" s="2" t="s">
        <v>41</v>
      </c>
      <c r="M76" s="3">
        <v>139.62</v>
      </c>
      <c r="N76" s="3">
        <v>630.69000000000005</v>
      </c>
      <c r="O76" s="2" t="s">
        <v>42</v>
      </c>
      <c r="P76" s="3">
        <v>27.97</v>
      </c>
      <c r="Q76" t="str">
        <f t="shared" si="4"/>
        <v>2022-03</v>
      </c>
      <c r="R76" s="3">
        <f t="shared" si="5"/>
        <v>1040.8756756756757</v>
      </c>
      <c r="S76" s="2" t="str">
        <f t="shared" si="3"/>
        <v>Success</v>
      </c>
    </row>
    <row r="77" spans="1:19" x14ac:dyDescent="0.3">
      <c r="A77" t="s">
        <v>141</v>
      </c>
      <c r="B77" s="1">
        <v>40634</v>
      </c>
      <c r="C77">
        <v>2011</v>
      </c>
      <c r="D77" s="2" t="s">
        <v>103</v>
      </c>
      <c r="E77" s="2" t="s">
        <v>104</v>
      </c>
      <c r="F77" s="2" t="s">
        <v>19</v>
      </c>
      <c r="G77" t="s">
        <v>46</v>
      </c>
      <c r="H77" s="3">
        <v>62.35</v>
      </c>
      <c r="I77" s="3">
        <v>152.44</v>
      </c>
      <c r="J77" s="3">
        <v>2444.98</v>
      </c>
      <c r="K77" s="1" t="s">
        <v>40</v>
      </c>
      <c r="L77" s="2" t="s">
        <v>29</v>
      </c>
      <c r="M77" s="3">
        <v>108.05</v>
      </c>
      <c r="N77" s="3">
        <v>837.9</v>
      </c>
      <c r="O77" s="2" t="s">
        <v>52</v>
      </c>
      <c r="P77" s="3">
        <v>23.83</v>
      </c>
      <c r="Q77" t="str">
        <f t="shared" si="4"/>
        <v>2011-04</v>
      </c>
      <c r="R77" s="3">
        <f t="shared" si="5"/>
        <v>39.213793103448275</v>
      </c>
      <c r="S77" s="2" t="str">
        <f t="shared" si="3"/>
        <v>Success</v>
      </c>
    </row>
    <row r="78" spans="1:19" x14ac:dyDescent="0.3">
      <c r="A78" t="s">
        <v>142</v>
      </c>
      <c r="B78" s="1">
        <v>43329</v>
      </c>
      <c r="C78">
        <v>2018</v>
      </c>
      <c r="D78" s="2" t="s">
        <v>31</v>
      </c>
      <c r="E78" s="2" t="s">
        <v>117</v>
      </c>
      <c r="F78" s="2" t="s">
        <v>33</v>
      </c>
      <c r="G78" t="s">
        <v>64</v>
      </c>
      <c r="H78" s="3">
        <v>44.73</v>
      </c>
      <c r="I78" s="3">
        <v>137.47</v>
      </c>
      <c r="J78" s="3">
        <v>3073.39</v>
      </c>
      <c r="K78" s="1" t="s">
        <v>34</v>
      </c>
      <c r="L78" s="2" t="s">
        <v>41</v>
      </c>
      <c r="M78" s="3">
        <v>209.73</v>
      </c>
      <c r="N78" s="3">
        <v>624.30999999999995</v>
      </c>
      <c r="O78" s="2" t="s">
        <v>70</v>
      </c>
      <c r="P78" s="3">
        <v>26.85</v>
      </c>
      <c r="Q78" t="str">
        <f t="shared" si="4"/>
        <v>2018-08</v>
      </c>
      <c r="R78" s="3">
        <f t="shared" si="5"/>
        <v>68.70981444220881</v>
      </c>
      <c r="S78" s="2" t="str">
        <f t="shared" si="3"/>
        <v>Success</v>
      </c>
    </row>
    <row r="79" spans="1:19" x14ac:dyDescent="0.3">
      <c r="A79" t="s">
        <v>143</v>
      </c>
      <c r="B79" s="1">
        <v>40839</v>
      </c>
      <c r="C79">
        <v>2011</v>
      </c>
      <c r="D79" s="2" t="s">
        <v>36</v>
      </c>
      <c r="E79" s="2" t="s">
        <v>51</v>
      </c>
      <c r="F79" s="2" t="s">
        <v>33</v>
      </c>
      <c r="G79" t="s">
        <v>46</v>
      </c>
      <c r="H79" s="3">
        <v>57.62</v>
      </c>
      <c r="I79" s="3">
        <v>256.33999999999997</v>
      </c>
      <c r="J79" s="3">
        <v>4448.87</v>
      </c>
      <c r="K79" s="1" t="s">
        <v>34</v>
      </c>
      <c r="L79" s="2" t="s">
        <v>22</v>
      </c>
      <c r="M79" s="3">
        <v>55.48</v>
      </c>
      <c r="N79" s="3">
        <v>1030.04</v>
      </c>
      <c r="O79" s="2" t="s">
        <v>52</v>
      </c>
      <c r="P79" s="3">
        <v>24.12</v>
      </c>
      <c r="Q79" t="str">
        <f t="shared" si="4"/>
        <v>2011-10</v>
      </c>
      <c r="R79" s="3">
        <f t="shared" si="5"/>
        <v>77.210517181534186</v>
      </c>
      <c r="S79" s="2" t="str">
        <f t="shared" si="3"/>
        <v>Success</v>
      </c>
    </row>
    <row r="80" spans="1:19" x14ac:dyDescent="0.3">
      <c r="A80" t="s">
        <v>144</v>
      </c>
      <c r="B80" s="1">
        <v>43050</v>
      </c>
      <c r="C80">
        <v>2017</v>
      </c>
      <c r="D80" s="2" t="s">
        <v>59</v>
      </c>
      <c r="E80" s="2" t="s">
        <v>93</v>
      </c>
      <c r="F80" s="2" t="s">
        <v>38</v>
      </c>
      <c r="G80" t="s">
        <v>56</v>
      </c>
      <c r="H80" s="3">
        <v>61.1</v>
      </c>
      <c r="I80" s="3">
        <v>190.26</v>
      </c>
      <c r="J80" s="3">
        <v>3113.93</v>
      </c>
      <c r="K80" s="1" t="s">
        <v>40</v>
      </c>
      <c r="L80" s="2" t="s">
        <v>49</v>
      </c>
      <c r="M80" s="3">
        <v>205.22</v>
      </c>
      <c r="N80" s="3">
        <v>877.76</v>
      </c>
      <c r="O80" s="2" t="s">
        <v>42</v>
      </c>
      <c r="P80" s="3">
        <v>29.42</v>
      </c>
      <c r="Q80" t="str">
        <f t="shared" si="4"/>
        <v>2017-11</v>
      </c>
      <c r="R80" s="3">
        <f t="shared" si="5"/>
        <v>50.964484451718491</v>
      </c>
      <c r="S80" s="2" t="str">
        <f t="shared" si="3"/>
        <v>Success</v>
      </c>
    </row>
    <row r="81" spans="1:19" x14ac:dyDescent="0.3">
      <c r="A81" t="s">
        <v>145</v>
      </c>
      <c r="B81" s="1">
        <v>40303</v>
      </c>
      <c r="C81">
        <v>2010</v>
      </c>
      <c r="D81" s="2" t="s">
        <v>44</v>
      </c>
      <c r="E81" s="2" t="s">
        <v>99</v>
      </c>
      <c r="F81" s="2" t="s">
        <v>19</v>
      </c>
      <c r="G81" t="s">
        <v>20</v>
      </c>
      <c r="H81" s="3">
        <v>73.5</v>
      </c>
      <c r="I81" s="3">
        <v>113.25</v>
      </c>
      <c r="J81" s="3">
        <v>1540.8</v>
      </c>
      <c r="K81" s="1" t="s">
        <v>34</v>
      </c>
      <c r="L81" s="2" t="s">
        <v>49</v>
      </c>
      <c r="M81" s="3">
        <v>131.68</v>
      </c>
      <c r="N81" s="3">
        <v>615.5</v>
      </c>
      <c r="O81" s="2" t="s">
        <v>42</v>
      </c>
      <c r="P81" s="3">
        <v>21.98</v>
      </c>
      <c r="Q81" t="str">
        <f t="shared" si="4"/>
        <v>2010-05</v>
      </c>
      <c r="R81" s="3">
        <f t="shared" si="5"/>
        <v>20.963265306122448</v>
      </c>
      <c r="S81" s="2" t="str">
        <f t="shared" si="3"/>
        <v>Success</v>
      </c>
    </row>
    <row r="82" spans="1:19" x14ac:dyDescent="0.3">
      <c r="A82" t="s">
        <v>146</v>
      </c>
      <c r="B82" s="1">
        <v>41810</v>
      </c>
      <c r="C82">
        <v>2014</v>
      </c>
      <c r="D82" s="2" t="s">
        <v>59</v>
      </c>
      <c r="E82" s="2" t="s">
        <v>93</v>
      </c>
      <c r="F82" s="2" t="s">
        <v>33</v>
      </c>
      <c r="G82" t="s">
        <v>20</v>
      </c>
      <c r="H82" s="3">
        <v>91.49</v>
      </c>
      <c r="I82" s="3">
        <v>609.79</v>
      </c>
      <c r="J82" s="3">
        <v>6665.13</v>
      </c>
      <c r="K82" s="1" t="s">
        <v>34</v>
      </c>
      <c r="L82" s="2" t="s">
        <v>41</v>
      </c>
      <c r="M82" s="3">
        <v>236.64</v>
      </c>
      <c r="N82" s="3">
        <v>538.72</v>
      </c>
      <c r="O82" s="2" t="s">
        <v>23</v>
      </c>
      <c r="P82" s="3">
        <v>27.02</v>
      </c>
      <c r="Q82" t="str">
        <f t="shared" si="4"/>
        <v>2014-06</v>
      </c>
      <c r="R82" s="3">
        <f t="shared" si="5"/>
        <v>72.850912668051151</v>
      </c>
      <c r="S82" s="2" t="str">
        <f t="shared" si="3"/>
        <v>Success</v>
      </c>
    </row>
    <row r="83" spans="1:19" x14ac:dyDescent="0.3">
      <c r="A83" t="s">
        <v>147</v>
      </c>
      <c r="B83" s="1">
        <v>43951</v>
      </c>
      <c r="C83">
        <v>2020</v>
      </c>
      <c r="D83" s="2" t="s">
        <v>44</v>
      </c>
      <c r="E83" s="2" t="s">
        <v>45</v>
      </c>
      <c r="F83" s="2" t="s">
        <v>19</v>
      </c>
      <c r="G83" t="s">
        <v>39</v>
      </c>
      <c r="H83" s="3">
        <v>98.01</v>
      </c>
      <c r="I83" s="3">
        <v>666.82</v>
      </c>
      <c r="J83" s="3">
        <v>6803.62</v>
      </c>
      <c r="K83" s="1" t="s">
        <v>34</v>
      </c>
      <c r="L83" s="2" t="s">
        <v>49</v>
      </c>
      <c r="M83" s="3">
        <v>72.58</v>
      </c>
      <c r="N83" s="3">
        <v>594.57000000000005</v>
      </c>
      <c r="O83" s="2" t="s">
        <v>70</v>
      </c>
      <c r="P83" s="3">
        <v>28.05</v>
      </c>
      <c r="Q83" t="str">
        <f t="shared" si="4"/>
        <v>2020-04</v>
      </c>
      <c r="R83" s="3">
        <f t="shared" si="5"/>
        <v>69.417610447913475</v>
      </c>
      <c r="S83" s="2" t="str">
        <f t="shared" si="3"/>
        <v>Success</v>
      </c>
    </row>
    <row r="84" spans="1:19" x14ac:dyDescent="0.3">
      <c r="A84" t="s">
        <v>148</v>
      </c>
      <c r="B84" s="1">
        <v>44279</v>
      </c>
      <c r="C84">
        <v>2020</v>
      </c>
      <c r="D84" s="2" t="s">
        <v>17</v>
      </c>
      <c r="E84" s="2" t="s">
        <v>54</v>
      </c>
      <c r="F84" s="2" t="s">
        <v>38</v>
      </c>
      <c r="G84" t="s">
        <v>27</v>
      </c>
      <c r="H84" s="3">
        <v>38.72</v>
      </c>
      <c r="I84" s="3">
        <v>187.07</v>
      </c>
      <c r="J84" s="3">
        <v>4831.3</v>
      </c>
      <c r="K84" s="1" t="s">
        <v>34</v>
      </c>
      <c r="L84" s="2" t="s">
        <v>49</v>
      </c>
      <c r="M84" s="3">
        <v>77.09</v>
      </c>
      <c r="N84" s="3">
        <v>433.82</v>
      </c>
      <c r="O84" s="2" t="s">
        <v>23</v>
      </c>
      <c r="P84" s="3">
        <v>29.29</v>
      </c>
      <c r="Q84" t="str">
        <f t="shared" si="4"/>
        <v>2021-03</v>
      </c>
      <c r="R84" s="3">
        <f t="shared" si="5"/>
        <v>124.77530991735539</v>
      </c>
      <c r="S84" s="2" t="str">
        <f t="shared" si="3"/>
        <v>Success</v>
      </c>
    </row>
    <row r="85" spans="1:19" x14ac:dyDescent="0.3">
      <c r="A85" t="s">
        <v>149</v>
      </c>
      <c r="B85" s="1">
        <v>44060</v>
      </c>
      <c r="C85">
        <v>2020</v>
      </c>
      <c r="D85" s="2" t="s">
        <v>59</v>
      </c>
      <c r="E85" s="2" t="s">
        <v>60</v>
      </c>
      <c r="F85" s="2" t="s">
        <v>33</v>
      </c>
      <c r="G85" t="s">
        <v>39</v>
      </c>
      <c r="H85" s="3">
        <v>82.56</v>
      </c>
      <c r="I85" s="3">
        <v>533.03</v>
      </c>
      <c r="J85" s="3">
        <v>6456.33</v>
      </c>
      <c r="K85" s="1" t="s">
        <v>34</v>
      </c>
      <c r="L85" s="2" t="s">
        <v>29</v>
      </c>
      <c r="M85" s="3">
        <v>212.31</v>
      </c>
      <c r="N85" s="3">
        <v>316.68</v>
      </c>
      <c r="O85" s="2" t="s">
        <v>23</v>
      </c>
      <c r="P85" s="3">
        <v>34.19</v>
      </c>
      <c r="Q85" t="str">
        <f t="shared" si="4"/>
        <v>2020-08</v>
      </c>
      <c r="R85" s="3">
        <f t="shared" si="5"/>
        <v>78.201671511627907</v>
      </c>
      <c r="S85" s="2" t="str">
        <f t="shared" si="3"/>
        <v>Success</v>
      </c>
    </row>
    <row r="86" spans="1:19" x14ac:dyDescent="0.3">
      <c r="A86" t="s">
        <v>150</v>
      </c>
      <c r="B86" s="1">
        <v>41418</v>
      </c>
      <c r="C86">
        <v>2013</v>
      </c>
      <c r="D86" s="2" t="s">
        <v>25</v>
      </c>
      <c r="E86" s="2" t="s">
        <v>26</v>
      </c>
      <c r="F86" s="2" t="s">
        <v>19</v>
      </c>
      <c r="G86" t="s">
        <v>56</v>
      </c>
      <c r="H86" s="3">
        <v>39.479999999999997</v>
      </c>
      <c r="I86" s="3">
        <v>127.37</v>
      </c>
      <c r="J86" s="3">
        <v>3226.07</v>
      </c>
      <c r="K86" s="1" t="s">
        <v>28</v>
      </c>
      <c r="L86" s="2" t="s">
        <v>29</v>
      </c>
      <c r="M86" s="3">
        <v>196.84</v>
      </c>
      <c r="N86" s="3">
        <v>926.6</v>
      </c>
      <c r="O86" s="2" t="s">
        <v>52</v>
      </c>
      <c r="P86" s="3">
        <v>29.82</v>
      </c>
      <c r="Q86" t="str">
        <f t="shared" si="4"/>
        <v>2013-05</v>
      </c>
      <c r="R86" s="3">
        <f t="shared" si="5"/>
        <v>81.714032421479246</v>
      </c>
      <c r="S86" s="2" t="str">
        <f t="shared" si="3"/>
        <v>Success</v>
      </c>
    </row>
    <row r="87" spans="1:19" x14ac:dyDescent="0.3">
      <c r="A87" t="s">
        <v>151</v>
      </c>
      <c r="B87" s="1">
        <v>41882</v>
      </c>
      <c r="C87">
        <v>2014</v>
      </c>
      <c r="D87" s="2" t="s">
        <v>59</v>
      </c>
      <c r="E87" s="2" t="s">
        <v>63</v>
      </c>
      <c r="F87" s="2" t="s">
        <v>33</v>
      </c>
      <c r="G87" t="s">
        <v>39</v>
      </c>
      <c r="H87" s="3">
        <v>37.68</v>
      </c>
      <c r="I87" s="3">
        <v>137.91999999999999</v>
      </c>
      <c r="J87" s="3">
        <v>3660.3</v>
      </c>
      <c r="K87" s="1" t="s">
        <v>40</v>
      </c>
      <c r="L87" s="2" t="s">
        <v>22</v>
      </c>
      <c r="M87" s="3">
        <v>263.86</v>
      </c>
      <c r="N87" s="3">
        <v>299.35000000000002</v>
      </c>
      <c r="O87" s="2" t="s">
        <v>70</v>
      </c>
      <c r="P87" s="3">
        <v>28.17</v>
      </c>
      <c r="Q87" t="str">
        <f t="shared" si="4"/>
        <v>2014-08</v>
      </c>
      <c r="R87" s="3">
        <f t="shared" si="5"/>
        <v>97.141719745222929</v>
      </c>
      <c r="S87" s="2" t="str">
        <f t="shared" si="3"/>
        <v>Success</v>
      </c>
    </row>
    <row r="88" spans="1:19" x14ac:dyDescent="0.3">
      <c r="A88" t="s">
        <v>152</v>
      </c>
      <c r="B88" s="1">
        <v>41478</v>
      </c>
      <c r="C88">
        <v>2013</v>
      </c>
      <c r="D88" s="2" t="s">
        <v>36</v>
      </c>
      <c r="E88" s="2" t="s">
        <v>51</v>
      </c>
      <c r="F88" s="2" t="s">
        <v>33</v>
      </c>
      <c r="G88" t="s">
        <v>46</v>
      </c>
      <c r="H88" s="3">
        <v>10.08</v>
      </c>
      <c r="I88" s="3">
        <v>22.91</v>
      </c>
      <c r="J88" s="3">
        <v>2272.63</v>
      </c>
      <c r="K88" s="1" t="s">
        <v>21</v>
      </c>
      <c r="L88" s="2" t="s">
        <v>22</v>
      </c>
      <c r="M88" s="3">
        <v>62.64</v>
      </c>
      <c r="N88" s="3">
        <v>533.51</v>
      </c>
      <c r="O88" s="2" t="s">
        <v>42</v>
      </c>
      <c r="P88" s="3">
        <v>31.8</v>
      </c>
      <c r="Q88" t="str">
        <f t="shared" si="4"/>
        <v>2013-07</v>
      </c>
      <c r="R88" s="3">
        <f t="shared" si="5"/>
        <v>225.45932539682539</v>
      </c>
      <c r="S88" s="2" t="str">
        <f t="shared" si="3"/>
        <v>Success</v>
      </c>
    </row>
    <row r="89" spans="1:19" x14ac:dyDescent="0.3">
      <c r="A89" t="s">
        <v>153</v>
      </c>
      <c r="B89" s="1">
        <v>41374</v>
      </c>
      <c r="C89">
        <v>2013</v>
      </c>
      <c r="D89" s="2" t="s">
        <v>44</v>
      </c>
      <c r="E89" s="2" t="s">
        <v>67</v>
      </c>
      <c r="F89" s="2" t="s">
        <v>19</v>
      </c>
      <c r="G89" t="s">
        <v>56</v>
      </c>
      <c r="H89" s="3">
        <v>81.489999999999995</v>
      </c>
      <c r="I89" s="3">
        <v>195.41</v>
      </c>
      <c r="J89" s="3">
        <v>2397.9899999999998</v>
      </c>
      <c r="K89" s="1" t="s">
        <v>40</v>
      </c>
      <c r="L89" s="2" t="s">
        <v>41</v>
      </c>
      <c r="M89" s="3">
        <v>247.16</v>
      </c>
      <c r="N89" s="3">
        <v>795.98</v>
      </c>
      <c r="O89" s="2" t="s">
        <v>70</v>
      </c>
      <c r="P89" s="3">
        <v>32.880000000000003</v>
      </c>
      <c r="Q89" t="str">
        <f t="shared" si="4"/>
        <v>2013-04</v>
      </c>
      <c r="R89" s="3">
        <f t="shared" si="5"/>
        <v>29.426800834458216</v>
      </c>
      <c r="S89" s="2" t="str">
        <f t="shared" si="3"/>
        <v>Success</v>
      </c>
    </row>
    <row r="90" spans="1:19" x14ac:dyDescent="0.3">
      <c r="A90" t="s">
        <v>154</v>
      </c>
      <c r="B90" s="1">
        <v>44757</v>
      </c>
      <c r="C90">
        <v>2022</v>
      </c>
      <c r="D90" s="2" t="s">
        <v>59</v>
      </c>
      <c r="E90" s="2" t="s">
        <v>63</v>
      </c>
      <c r="F90" s="2" t="s">
        <v>33</v>
      </c>
      <c r="G90" t="s">
        <v>64</v>
      </c>
      <c r="H90" s="3">
        <v>66.44</v>
      </c>
      <c r="I90" s="3">
        <v>76.72</v>
      </c>
      <c r="J90" s="3">
        <v>1154.68</v>
      </c>
      <c r="K90" s="1" t="s">
        <v>21</v>
      </c>
      <c r="L90" s="2" t="s">
        <v>49</v>
      </c>
      <c r="M90" s="3">
        <v>139.56</v>
      </c>
      <c r="N90" s="3">
        <v>988.43</v>
      </c>
      <c r="O90" s="2" t="s">
        <v>61</v>
      </c>
      <c r="P90" s="3">
        <v>24.86</v>
      </c>
      <c r="Q90" t="str">
        <f t="shared" si="4"/>
        <v>2022-07</v>
      </c>
      <c r="R90" s="3">
        <f t="shared" si="5"/>
        <v>17.3792895845876</v>
      </c>
      <c r="S90" s="2" t="str">
        <f t="shared" si="3"/>
        <v>Success</v>
      </c>
    </row>
    <row r="91" spans="1:19" x14ac:dyDescent="0.3">
      <c r="A91" t="s">
        <v>155</v>
      </c>
      <c r="B91" s="1">
        <v>44557</v>
      </c>
      <c r="C91">
        <v>2021</v>
      </c>
      <c r="D91" s="2" t="s">
        <v>25</v>
      </c>
      <c r="E91" s="2" t="s">
        <v>26</v>
      </c>
      <c r="F91" s="2" t="s">
        <v>38</v>
      </c>
      <c r="G91" t="s">
        <v>27</v>
      </c>
      <c r="H91" s="3">
        <v>12.25</v>
      </c>
      <c r="I91" s="3">
        <v>16.920000000000002</v>
      </c>
      <c r="J91" s="3">
        <v>1381.35</v>
      </c>
      <c r="K91" s="1" t="s">
        <v>28</v>
      </c>
      <c r="L91" s="2" t="s">
        <v>47</v>
      </c>
      <c r="M91" s="3">
        <v>244.5</v>
      </c>
      <c r="N91" s="3">
        <v>713.24</v>
      </c>
      <c r="O91" s="2" t="s">
        <v>23</v>
      </c>
      <c r="P91" s="3">
        <v>26.78</v>
      </c>
      <c r="Q91" t="str">
        <f t="shared" si="4"/>
        <v>2021-12</v>
      </c>
      <c r="R91" s="3">
        <f t="shared" si="5"/>
        <v>112.76326530612243</v>
      </c>
      <c r="S91" s="2" t="str">
        <f t="shared" si="3"/>
        <v>Success</v>
      </c>
    </row>
    <row r="92" spans="1:19" x14ac:dyDescent="0.3">
      <c r="A92" t="s">
        <v>156</v>
      </c>
      <c r="B92" s="1">
        <v>44658</v>
      </c>
      <c r="C92">
        <v>2022</v>
      </c>
      <c r="D92" s="2" t="s">
        <v>25</v>
      </c>
      <c r="E92" s="2" t="s">
        <v>69</v>
      </c>
      <c r="F92" s="2" t="s">
        <v>19</v>
      </c>
      <c r="G92" t="s">
        <v>27</v>
      </c>
      <c r="H92" s="3">
        <v>30.86</v>
      </c>
      <c r="I92" s="3">
        <v>149.97999999999999</v>
      </c>
      <c r="J92" s="3">
        <v>4860.04</v>
      </c>
      <c r="K92" s="1" t="s">
        <v>21</v>
      </c>
      <c r="L92" s="2" t="s">
        <v>29</v>
      </c>
      <c r="M92" s="3">
        <v>65.209999999999994</v>
      </c>
      <c r="N92" s="3">
        <v>678.98</v>
      </c>
      <c r="O92" s="2" t="s">
        <v>52</v>
      </c>
      <c r="P92" s="3">
        <v>26.39</v>
      </c>
      <c r="Q92" t="str">
        <f t="shared" si="4"/>
        <v>2022-04</v>
      </c>
      <c r="R92" s="3">
        <f t="shared" si="5"/>
        <v>157.48671419313027</v>
      </c>
      <c r="S92" s="2" t="str">
        <f t="shared" si="3"/>
        <v>Success</v>
      </c>
    </row>
    <row r="93" spans="1:19" x14ac:dyDescent="0.3">
      <c r="A93" t="s">
        <v>157</v>
      </c>
      <c r="B93" s="1">
        <v>40847</v>
      </c>
      <c r="C93">
        <v>2011</v>
      </c>
      <c r="D93" s="2" t="s">
        <v>17</v>
      </c>
      <c r="E93" s="2" t="s">
        <v>72</v>
      </c>
      <c r="F93" s="2" t="s">
        <v>33</v>
      </c>
      <c r="G93" t="s">
        <v>20</v>
      </c>
      <c r="H93" s="3">
        <v>61.22</v>
      </c>
      <c r="I93" s="3">
        <v>85.35</v>
      </c>
      <c r="J93" s="3">
        <v>1394.09</v>
      </c>
      <c r="K93" s="1" t="s">
        <v>34</v>
      </c>
      <c r="L93" s="2" t="s">
        <v>47</v>
      </c>
      <c r="M93" s="3">
        <v>206.08</v>
      </c>
      <c r="N93" s="3">
        <v>785.36</v>
      </c>
      <c r="O93" s="2" t="s">
        <v>70</v>
      </c>
      <c r="P93" s="3">
        <v>25.71</v>
      </c>
      <c r="Q93" t="str">
        <f t="shared" si="4"/>
        <v>2011-10</v>
      </c>
      <c r="R93" s="3">
        <f t="shared" si="5"/>
        <v>22.771806599150604</v>
      </c>
      <c r="S93" s="2" t="str">
        <f t="shared" si="3"/>
        <v>Success</v>
      </c>
    </row>
    <row r="94" spans="1:19" x14ac:dyDescent="0.3">
      <c r="A94" t="s">
        <v>158</v>
      </c>
      <c r="B94" s="1">
        <v>43220</v>
      </c>
      <c r="C94">
        <v>2018</v>
      </c>
      <c r="D94" s="2" t="s">
        <v>31</v>
      </c>
      <c r="E94" s="2" t="s">
        <v>32</v>
      </c>
      <c r="F94" s="2" t="s">
        <v>19</v>
      </c>
      <c r="G94" t="s">
        <v>46</v>
      </c>
      <c r="H94" s="3">
        <v>10.82</v>
      </c>
      <c r="I94" s="3">
        <v>56.38</v>
      </c>
      <c r="J94" s="3">
        <v>5210.68</v>
      </c>
      <c r="K94" s="1" t="s">
        <v>40</v>
      </c>
      <c r="L94" s="2" t="s">
        <v>29</v>
      </c>
      <c r="M94" s="3">
        <v>157.52000000000001</v>
      </c>
      <c r="N94" s="3">
        <v>1088.0899999999999</v>
      </c>
      <c r="O94" s="2" t="s">
        <v>52</v>
      </c>
      <c r="P94" s="3">
        <v>25.08</v>
      </c>
      <c r="Q94" t="str">
        <f t="shared" si="4"/>
        <v>2018-04</v>
      </c>
      <c r="R94" s="3">
        <f t="shared" si="5"/>
        <v>481.57855822550835</v>
      </c>
      <c r="S94" s="2" t="str">
        <f t="shared" si="3"/>
        <v>Success</v>
      </c>
    </row>
    <row r="95" spans="1:19" x14ac:dyDescent="0.3">
      <c r="A95" t="s">
        <v>159</v>
      </c>
      <c r="B95" s="1">
        <v>40871</v>
      </c>
      <c r="C95">
        <v>2011</v>
      </c>
      <c r="D95" s="2" t="s">
        <v>36</v>
      </c>
      <c r="E95" s="2" t="s">
        <v>77</v>
      </c>
      <c r="F95" s="2" t="s">
        <v>38</v>
      </c>
      <c r="G95" t="s">
        <v>46</v>
      </c>
      <c r="H95" s="3">
        <v>31.94</v>
      </c>
      <c r="I95" s="3">
        <v>80.790000000000006</v>
      </c>
      <c r="J95" s="3">
        <v>2529.34</v>
      </c>
      <c r="K95" s="1" t="s">
        <v>40</v>
      </c>
      <c r="L95" s="2" t="s">
        <v>29</v>
      </c>
      <c r="M95" s="3">
        <v>221.71</v>
      </c>
      <c r="N95" s="3">
        <v>674.27</v>
      </c>
      <c r="O95" s="2" t="s">
        <v>23</v>
      </c>
      <c r="P95" s="3">
        <v>32.479999999999997</v>
      </c>
      <c r="Q95" t="str">
        <f t="shared" si="4"/>
        <v>2011-11</v>
      </c>
      <c r="R95" s="3">
        <f t="shared" si="5"/>
        <v>79.190356919223547</v>
      </c>
      <c r="S95" s="2" t="str">
        <f t="shared" si="3"/>
        <v>Success</v>
      </c>
    </row>
    <row r="96" spans="1:19" x14ac:dyDescent="0.3">
      <c r="A96" t="s">
        <v>160</v>
      </c>
      <c r="B96" s="1">
        <v>44514</v>
      </c>
      <c r="C96">
        <v>2021</v>
      </c>
      <c r="D96" s="2" t="s">
        <v>25</v>
      </c>
      <c r="E96" s="2" t="s">
        <v>69</v>
      </c>
      <c r="F96" s="2" t="s">
        <v>38</v>
      </c>
      <c r="G96" t="s">
        <v>56</v>
      </c>
      <c r="H96" s="3">
        <v>56.08</v>
      </c>
      <c r="I96" s="3">
        <v>253.41</v>
      </c>
      <c r="J96" s="3">
        <v>4518.79</v>
      </c>
      <c r="K96" s="1" t="s">
        <v>34</v>
      </c>
      <c r="L96" s="2" t="s">
        <v>49</v>
      </c>
      <c r="M96" s="3">
        <v>217.5</v>
      </c>
      <c r="N96" s="3">
        <v>610.80999999999995</v>
      </c>
      <c r="O96" s="2" t="s">
        <v>52</v>
      </c>
      <c r="P96" s="3">
        <v>33.020000000000003</v>
      </c>
      <c r="Q96" t="str">
        <f t="shared" si="4"/>
        <v>2021-11</v>
      </c>
      <c r="R96" s="3">
        <f t="shared" si="5"/>
        <v>80.577567760342376</v>
      </c>
      <c r="S96" s="2" t="str">
        <f t="shared" si="3"/>
        <v>Success</v>
      </c>
    </row>
    <row r="97" spans="1:19" x14ac:dyDescent="0.3">
      <c r="A97" t="s">
        <v>161</v>
      </c>
      <c r="B97" s="1">
        <v>42227</v>
      </c>
      <c r="C97">
        <v>2015</v>
      </c>
      <c r="D97" s="2" t="s">
        <v>59</v>
      </c>
      <c r="E97" s="2" t="s">
        <v>63</v>
      </c>
      <c r="F97" s="2" t="s">
        <v>33</v>
      </c>
      <c r="G97" t="s">
        <v>27</v>
      </c>
      <c r="H97" s="3">
        <v>51.23</v>
      </c>
      <c r="I97" s="3">
        <v>98.79</v>
      </c>
      <c r="J97" s="3">
        <v>1928.38</v>
      </c>
      <c r="K97" s="1" t="s">
        <v>28</v>
      </c>
      <c r="L97" s="2" t="s">
        <v>47</v>
      </c>
      <c r="M97" s="3">
        <v>106.06</v>
      </c>
      <c r="N97" s="3">
        <v>308.22000000000003</v>
      </c>
      <c r="O97" s="2" t="s">
        <v>61</v>
      </c>
      <c r="P97" s="3">
        <v>25.51</v>
      </c>
      <c r="Q97" t="str">
        <f t="shared" si="4"/>
        <v>2015-08</v>
      </c>
      <c r="R97" s="3">
        <f t="shared" si="5"/>
        <v>37.641616240484097</v>
      </c>
      <c r="S97" s="2" t="str">
        <f t="shared" si="3"/>
        <v>Success</v>
      </c>
    </row>
    <row r="98" spans="1:19" x14ac:dyDescent="0.3">
      <c r="A98" t="s">
        <v>162</v>
      </c>
      <c r="B98" s="1">
        <v>43213</v>
      </c>
      <c r="C98">
        <v>2018</v>
      </c>
      <c r="D98" s="2" t="s">
        <v>103</v>
      </c>
      <c r="E98" s="2" t="s">
        <v>107</v>
      </c>
      <c r="F98" s="2" t="s">
        <v>19</v>
      </c>
      <c r="G98" t="s">
        <v>27</v>
      </c>
      <c r="H98" s="3">
        <v>67.819999999999993</v>
      </c>
      <c r="I98" s="3">
        <v>294.37</v>
      </c>
      <c r="J98" s="3">
        <v>4340.4399999999996</v>
      </c>
      <c r="K98" s="1" t="s">
        <v>34</v>
      </c>
      <c r="L98" s="2" t="s">
        <v>22</v>
      </c>
      <c r="M98" s="3">
        <v>57.24</v>
      </c>
      <c r="N98" s="3">
        <v>473.27</v>
      </c>
      <c r="O98" s="2" t="s">
        <v>70</v>
      </c>
      <c r="P98" s="3">
        <v>33.82</v>
      </c>
      <c r="Q98" t="str">
        <f t="shared" si="4"/>
        <v>2018-04</v>
      </c>
      <c r="R98" s="3">
        <f t="shared" si="5"/>
        <v>63.999410203479798</v>
      </c>
      <c r="S98" s="2" t="str">
        <f t="shared" si="3"/>
        <v>Success</v>
      </c>
    </row>
    <row r="99" spans="1:19" x14ac:dyDescent="0.3">
      <c r="A99" t="s">
        <v>163</v>
      </c>
      <c r="B99" s="1">
        <v>43577</v>
      </c>
      <c r="C99">
        <v>2019</v>
      </c>
      <c r="D99" s="2" t="s">
        <v>103</v>
      </c>
      <c r="E99" s="2" t="s">
        <v>104</v>
      </c>
      <c r="F99" s="2" t="s">
        <v>19</v>
      </c>
      <c r="G99" t="s">
        <v>46</v>
      </c>
      <c r="H99" s="3">
        <v>7.89</v>
      </c>
      <c r="I99" s="3">
        <v>42.97</v>
      </c>
      <c r="J99" s="3">
        <v>5445.81</v>
      </c>
      <c r="K99" s="1" t="s">
        <v>21</v>
      </c>
      <c r="L99" s="2" t="s">
        <v>41</v>
      </c>
      <c r="M99" s="3">
        <v>72.94</v>
      </c>
      <c r="N99" s="3">
        <v>730.48</v>
      </c>
      <c r="O99" s="2" t="s">
        <v>52</v>
      </c>
      <c r="P99" s="3">
        <v>26.3</v>
      </c>
      <c r="Q99" t="str">
        <f t="shared" si="4"/>
        <v>2019-04</v>
      </c>
      <c r="R99" s="3">
        <f t="shared" si="5"/>
        <v>690.21673003802289</v>
      </c>
      <c r="S99" s="2" t="str">
        <f t="shared" si="3"/>
        <v>Success</v>
      </c>
    </row>
    <row r="100" spans="1:19" x14ac:dyDescent="0.3">
      <c r="A100" t="s">
        <v>164</v>
      </c>
      <c r="B100" s="1">
        <v>44609</v>
      </c>
      <c r="C100">
        <v>2021</v>
      </c>
      <c r="D100" s="2" t="s">
        <v>31</v>
      </c>
      <c r="E100" s="2" t="s">
        <v>32</v>
      </c>
      <c r="F100" s="2" t="s">
        <v>38</v>
      </c>
      <c r="G100" t="s">
        <v>27</v>
      </c>
      <c r="H100" s="3">
        <v>60.03</v>
      </c>
      <c r="I100" s="3">
        <v>378.19</v>
      </c>
      <c r="J100" s="3">
        <v>6300.05</v>
      </c>
      <c r="K100" s="1" t="s">
        <v>40</v>
      </c>
      <c r="L100" s="2" t="s">
        <v>29</v>
      </c>
      <c r="M100" s="3">
        <v>89.35</v>
      </c>
      <c r="N100" s="3">
        <v>817.84</v>
      </c>
      <c r="O100" s="2" t="s">
        <v>23</v>
      </c>
      <c r="P100" s="3">
        <v>24.08</v>
      </c>
      <c r="Q100" t="str">
        <f t="shared" si="4"/>
        <v>2022-02</v>
      </c>
      <c r="R100" s="3">
        <f t="shared" si="5"/>
        <v>104.94835915375646</v>
      </c>
      <c r="S100" s="2" t="str">
        <f t="shared" si="3"/>
        <v>Success</v>
      </c>
    </row>
    <row r="101" spans="1:19" x14ac:dyDescent="0.3">
      <c r="A101" t="s">
        <v>165</v>
      </c>
      <c r="B101" s="1">
        <v>42753</v>
      </c>
      <c r="C101">
        <v>2016</v>
      </c>
      <c r="D101" s="2" t="s">
        <v>59</v>
      </c>
      <c r="E101" s="2" t="s">
        <v>63</v>
      </c>
      <c r="F101" s="2" t="s">
        <v>38</v>
      </c>
      <c r="G101" t="s">
        <v>56</v>
      </c>
      <c r="H101" s="3">
        <v>75.739999999999995</v>
      </c>
      <c r="I101" s="3">
        <v>127.46</v>
      </c>
      <c r="J101" s="3">
        <v>1682.91</v>
      </c>
      <c r="K101" s="1" t="s">
        <v>28</v>
      </c>
      <c r="L101" s="2" t="s">
        <v>22</v>
      </c>
      <c r="M101" s="3">
        <v>77.72</v>
      </c>
      <c r="N101" s="3">
        <v>878.22</v>
      </c>
      <c r="O101" s="2" t="s">
        <v>61</v>
      </c>
      <c r="P101" s="3">
        <v>27.3</v>
      </c>
      <c r="Q101" t="str">
        <f t="shared" si="4"/>
        <v>2017-01</v>
      </c>
      <c r="R101" s="3">
        <f t="shared" si="5"/>
        <v>22.219566939529972</v>
      </c>
      <c r="S101" s="2" t="str">
        <f t="shared" si="3"/>
        <v>Success</v>
      </c>
    </row>
    <row r="102" spans="1:19" x14ac:dyDescent="0.3">
      <c r="A102" t="s">
        <v>166</v>
      </c>
      <c r="B102" s="1">
        <v>43727</v>
      </c>
      <c r="C102">
        <v>2019</v>
      </c>
      <c r="D102" s="2" t="s">
        <v>103</v>
      </c>
      <c r="E102" s="2" t="s">
        <v>107</v>
      </c>
      <c r="F102" s="2" t="s">
        <v>33</v>
      </c>
      <c r="G102" t="s">
        <v>64</v>
      </c>
      <c r="H102" s="3">
        <v>21.24</v>
      </c>
      <c r="I102" s="3">
        <v>141.71</v>
      </c>
      <c r="J102" s="3">
        <v>6671.94</v>
      </c>
      <c r="K102" s="1" t="s">
        <v>40</v>
      </c>
      <c r="L102" s="2" t="s">
        <v>41</v>
      </c>
      <c r="M102" s="3">
        <v>241.04</v>
      </c>
      <c r="N102" s="3">
        <v>489.45</v>
      </c>
      <c r="O102" s="2" t="s">
        <v>23</v>
      </c>
      <c r="P102" s="3">
        <v>20.12</v>
      </c>
      <c r="Q102" t="str">
        <f t="shared" si="4"/>
        <v>2019-09</v>
      </c>
      <c r="R102" s="3">
        <f t="shared" si="5"/>
        <v>314.12146892655369</v>
      </c>
      <c r="S102" s="2" t="str">
        <f t="shared" si="3"/>
        <v>Success</v>
      </c>
    </row>
    <row r="103" spans="1:19" x14ac:dyDescent="0.3">
      <c r="A103" t="s">
        <v>167</v>
      </c>
      <c r="B103" s="1">
        <v>43220</v>
      </c>
      <c r="C103">
        <v>2018</v>
      </c>
      <c r="D103" s="2" t="s">
        <v>103</v>
      </c>
      <c r="E103" s="2" t="s">
        <v>107</v>
      </c>
      <c r="F103" s="2" t="s">
        <v>19</v>
      </c>
      <c r="G103" t="s">
        <v>56</v>
      </c>
      <c r="H103" s="3">
        <v>50.53</v>
      </c>
      <c r="I103" s="3">
        <v>303.19</v>
      </c>
      <c r="J103" s="3">
        <v>6000.13</v>
      </c>
      <c r="K103" s="1" t="s">
        <v>34</v>
      </c>
      <c r="L103" s="2" t="s">
        <v>22</v>
      </c>
      <c r="M103" s="3">
        <v>68.02</v>
      </c>
      <c r="N103" s="3">
        <v>1061.76</v>
      </c>
      <c r="O103" s="2" t="s">
        <v>23</v>
      </c>
      <c r="P103" s="3">
        <v>26.54</v>
      </c>
      <c r="Q103" t="str">
        <f t="shared" si="4"/>
        <v>2018-04</v>
      </c>
      <c r="R103" s="3">
        <f t="shared" si="5"/>
        <v>118.74391450623392</v>
      </c>
      <c r="S103" s="2" t="str">
        <f t="shared" si="3"/>
        <v>Success</v>
      </c>
    </row>
    <row r="104" spans="1:19" x14ac:dyDescent="0.3">
      <c r="A104" t="s">
        <v>168</v>
      </c>
      <c r="B104" s="1">
        <v>43887</v>
      </c>
      <c r="C104">
        <v>2019</v>
      </c>
      <c r="D104" s="2" t="s">
        <v>44</v>
      </c>
      <c r="E104" s="2" t="s">
        <v>99</v>
      </c>
      <c r="F104" s="2" t="s">
        <v>38</v>
      </c>
      <c r="G104" t="s">
        <v>27</v>
      </c>
      <c r="H104" s="3">
        <v>41.04</v>
      </c>
      <c r="I104" s="3">
        <v>198.67</v>
      </c>
      <c r="J104" s="3">
        <v>4840.8500000000004</v>
      </c>
      <c r="K104" s="1" t="s">
        <v>34</v>
      </c>
      <c r="L104" s="2" t="s">
        <v>49</v>
      </c>
      <c r="M104" s="3">
        <v>78.790000000000006</v>
      </c>
      <c r="N104" s="3">
        <v>220.86</v>
      </c>
      <c r="O104" s="2" t="s">
        <v>70</v>
      </c>
      <c r="P104" s="3">
        <v>22.58</v>
      </c>
      <c r="Q104" t="str">
        <f t="shared" si="4"/>
        <v>2020-02</v>
      </c>
      <c r="R104" s="3">
        <f t="shared" si="5"/>
        <v>117.95443469785576</v>
      </c>
      <c r="S104" s="2" t="str">
        <f t="shared" si="3"/>
        <v>Success</v>
      </c>
    </row>
    <row r="105" spans="1:19" x14ac:dyDescent="0.3">
      <c r="A105" t="s">
        <v>169</v>
      </c>
      <c r="B105" s="1">
        <v>40738</v>
      </c>
      <c r="C105">
        <v>2011</v>
      </c>
      <c r="D105" s="2" t="s">
        <v>25</v>
      </c>
      <c r="E105" s="2" t="s">
        <v>87</v>
      </c>
      <c r="F105" s="2" t="s">
        <v>33</v>
      </c>
      <c r="G105" t="s">
        <v>46</v>
      </c>
      <c r="H105" s="3">
        <v>59.3</v>
      </c>
      <c r="I105" s="3">
        <v>245.73</v>
      </c>
      <c r="J105" s="3">
        <v>4143.78</v>
      </c>
      <c r="K105" s="1" t="s">
        <v>28</v>
      </c>
      <c r="L105" s="2" t="s">
        <v>22</v>
      </c>
      <c r="M105" s="3">
        <v>267.63</v>
      </c>
      <c r="N105" s="3">
        <v>945.8</v>
      </c>
      <c r="O105" s="2" t="s">
        <v>42</v>
      </c>
      <c r="P105" s="3">
        <v>25</v>
      </c>
      <c r="Q105" t="str">
        <f t="shared" si="4"/>
        <v>2011-07</v>
      </c>
      <c r="R105" s="3">
        <f t="shared" si="5"/>
        <v>69.878246205733561</v>
      </c>
      <c r="S105" s="2" t="str">
        <f t="shared" si="3"/>
        <v>Success</v>
      </c>
    </row>
    <row r="106" spans="1:19" x14ac:dyDescent="0.3">
      <c r="A106" t="s">
        <v>170</v>
      </c>
      <c r="B106" s="1">
        <v>40643</v>
      </c>
      <c r="C106">
        <v>2011</v>
      </c>
      <c r="D106" s="2" t="s">
        <v>59</v>
      </c>
      <c r="E106" s="2" t="s">
        <v>93</v>
      </c>
      <c r="F106" s="2" t="s">
        <v>19</v>
      </c>
      <c r="G106" t="s">
        <v>27</v>
      </c>
      <c r="H106" s="3">
        <v>20.2</v>
      </c>
      <c r="I106" s="3">
        <v>114.28</v>
      </c>
      <c r="J106" s="3">
        <v>5657.37</v>
      </c>
      <c r="K106" s="1" t="s">
        <v>34</v>
      </c>
      <c r="L106" s="2" t="s">
        <v>49</v>
      </c>
      <c r="M106" s="3">
        <v>231.84</v>
      </c>
      <c r="N106" s="3">
        <v>1018.95</v>
      </c>
      <c r="O106" s="2" t="s">
        <v>42</v>
      </c>
      <c r="P106" s="3">
        <v>23.54</v>
      </c>
      <c r="Q106" t="str">
        <f t="shared" si="4"/>
        <v>2011-04</v>
      </c>
      <c r="R106" s="3">
        <f t="shared" si="5"/>
        <v>280.06782178217821</v>
      </c>
      <c r="S106" s="2" t="str">
        <f t="shared" si="3"/>
        <v>Success</v>
      </c>
    </row>
    <row r="107" spans="1:19" x14ac:dyDescent="0.3">
      <c r="A107" t="s">
        <v>171</v>
      </c>
      <c r="B107" s="1">
        <v>43761</v>
      </c>
      <c r="C107">
        <v>2019</v>
      </c>
      <c r="D107" s="2" t="s">
        <v>103</v>
      </c>
      <c r="E107" s="2" t="s">
        <v>104</v>
      </c>
      <c r="F107" s="2" t="s">
        <v>33</v>
      </c>
      <c r="G107" t="s">
        <v>39</v>
      </c>
      <c r="H107" s="3">
        <v>8.4600000000000009</v>
      </c>
      <c r="I107" s="3">
        <v>56.75</v>
      </c>
      <c r="J107" s="3">
        <v>6707.75</v>
      </c>
      <c r="K107" s="1" t="s">
        <v>28</v>
      </c>
      <c r="L107" s="2" t="s">
        <v>47</v>
      </c>
      <c r="M107" s="3">
        <v>165.99</v>
      </c>
      <c r="N107" s="3">
        <v>763.74</v>
      </c>
      <c r="O107" s="2" t="s">
        <v>61</v>
      </c>
      <c r="P107" s="3">
        <v>26.73</v>
      </c>
      <c r="Q107" t="str">
        <f t="shared" si="4"/>
        <v>2019-10</v>
      </c>
      <c r="R107" s="3">
        <f t="shared" si="5"/>
        <v>792.87825059101647</v>
      </c>
      <c r="S107" s="2" t="str">
        <f t="shared" si="3"/>
        <v>Success</v>
      </c>
    </row>
    <row r="108" spans="1:19" x14ac:dyDescent="0.3">
      <c r="A108" t="s">
        <v>172</v>
      </c>
      <c r="B108" s="1">
        <v>42235</v>
      </c>
      <c r="C108">
        <v>2015</v>
      </c>
      <c r="D108" s="2" t="s">
        <v>31</v>
      </c>
      <c r="E108" s="2" t="s">
        <v>117</v>
      </c>
      <c r="F108" s="2" t="s">
        <v>33</v>
      </c>
      <c r="G108" t="s">
        <v>46</v>
      </c>
      <c r="H108" s="3">
        <v>7.76</v>
      </c>
      <c r="I108" s="3">
        <v>28.35</v>
      </c>
      <c r="J108" s="3">
        <v>3653.25</v>
      </c>
      <c r="K108" s="1" t="s">
        <v>34</v>
      </c>
      <c r="L108" s="2" t="s">
        <v>29</v>
      </c>
      <c r="M108" s="3">
        <v>249.08</v>
      </c>
      <c r="N108" s="3">
        <v>791.42</v>
      </c>
      <c r="O108" s="2" t="s">
        <v>70</v>
      </c>
      <c r="P108" s="3">
        <v>27.61</v>
      </c>
      <c r="Q108" t="str">
        <f t="shared" si="4"/>
        <v>2015-08</v>
      </c>
      <c r="R108" s="3">
        <f t="shared" si="5"/>
        <v>470.77963917525773</v>
      </c>
      <c r="S108" s="2" t="str">
        <f t="shared" si="3"/>
        <v>Success</v>
      </c>
    </row>
    <row r="109" spans="1:19" x14ac:dyDescent="0.3">
      <c r="A109" t="s">
        <v>173</v>
      </c>
      <c r="B109" s="1">
        <v>40493</v>
      </c>
      <c r="C109">
        <v>2010</v>
      </c>
      <c r="D109" s="2" t="s">
        <v>36</v>
      </c>
      <c r="E109" s="2" t="s">
        <v>37</v>
      </c>
      <c r="F109" s="2" t="s">
        <v>38</v>
      </c>
      <c r="G109" t="s">
        <v>20</v>
      </c>
      <c r="H109" s="3">
        <v>8.6</v>
      </c>
      <c r="I109" s="3">
        <v>53.2</v>
      </c>
      <c r="J109" s="3">
        <v>6185.5</v>
      </c>
      <c r="K109" s="1" t="s">
        <v>21</v>
      </c>
      <c r="L109" s="2" t="s">
        <v>29</v>
      </c>
      <c r="M109" s="3">
        <v>203.75</v>
      </c>
      <c r="N109" s="3">
        <v>707.07</v>
      </c>
      <c r="O109" s="2" t="s">
        <v>52</v>
      </c>
      <c r="P109" s="3">
        <v>28.7</v>
      </c>
      <c r="Q109" t="str">
        <f t="shared" si="4"/>
        <v>2010-11</v>
      </c>
      <c r="R109" s="3">
        <f t="shared" si="5"/>
        <v>719.24418604651169</v>
      </c>
      <c r="S109" s="2" t="str">
        <f t="shared" si="3"/>
        <v>Success</v>
      </c>
    </row>
    <row r="110" spans="1:19" x14ac:dyDescent="0.3">
      <c r="A110" t="s">
        <v>174</v>
      </c>
      <c r="B110" s="1">
        <v>44004</v>
      </c>
      <c r="C110">
        <v>2020</v>
      </c>
      <c r="D110" s="2" t="s">
        <v>44</v>
      </c>
      <c r="E110" s="2" t="s">
        <v>67</v>
      </c>
      <c r="F110" s="2" t="s">
        <v>33</v>
      </c>
      <c r="G110" t="s">
        <v>20</v>
      </c>
      <c r="H110" s="3">
        <v>60.9</v>
      </c>
      <c r="I110" s="3">
        <v>244.1</v>
      </c>
      <c r="J110" s="3">
        <v>4008.2</v>
      </c>
      <c r="K110" s="1" t="s">
        <v>21</v>
      </c>
      <c r="L110" s="2" t="s">
        <v>47</v>
      </c>
      <c r="M110" s="3">
        <v>162.63</v>
      </c>
      <c r="N110" s="3">
        <v>1010.97</v>
      </c>
      <c r="O110" s="2" t="s">
        <v>70</v>
      </c>
      <c r="P110" s="3">
        <v>34.74</v>
      </c>
      <c r="Q110" t="str">
        <f t="shared" si="4"/>
        <v>2020-06</v>
      </c>
      <c r="R110" s="3">
        <f t="shared" si="5"/>
        <v>65.816091954022994</v>
      </c>
      <c r="S110" s="2" t="str">
        <f t="shared" si="3"/>
        <v>Success</v>
      </c>
    </row>
    <row r="111" spans="1:19" x14ac:dyDescent="0.3">
      <c r="A111" t="s">
        <v>175</v>
      </c>
      <c r="B111" s="1">
        <v>40416</v>
      </c>
      <c r="C111">
        <v>2010</v>
      </c>
      <c r="D111" s="2" t="s">
        <v>17</v>
      </c>
      <c r="E111" s="2" t="s">
        <v>18</v>
      </c>
      <c r="F111" s="2" t="s">
        <v>33</v>
      </c>
      <c r="G111" t="s">
        <v>39</v>
      </c>
      <c r="H111" s="3">
        <v>44.34</v>
      </c>
      <c r="I111" s="3">
        <v>161.24</v>
      </c>
      <c r="J111" s="3">
        <v>3636.53</v>
      </c>
      <c r="K111" s="1" t="s">
        <v>40</v>
      </c>
      <c r="L111" s="2" t="s">
        <v>47</v>
      </c>
      <c r="M111" s="3">
        <v>140.97</v>
      </c>
      <c r="N111" s="3">
        <v>1117.94</v>
      </c>
      <c r="O111" s="2" t="s">
        <v>52</v>
      </c>
      <c r="P111" s="3">
        <v>26.13</v>
      </c>
      <c r="Q111" t="str">
        <f t="shared" si="4"/>
        <v>2010-08</v>
      </c>
      <c r="R111" s="3">
        <f t="shared" si="5"/>
        <v>82.014659449706812</v>
      </c>
      <c r="S111" s="2" t="str">
        <f t="shared" si="3"/>
        <v>Success</v>
      </c>
    </row>
    <row r="112" spans="1:19" x14ac:dyDescent="0.3">
      <c r="A112" t="s">
        <v>176</v>
      </c>
      <c r="B112" s="1">
        <v>44221</v>
      </c>
      <c r="C112">
        <v>2020</v>
      </c>
      <c r="D112" s="2" t="s">
        <v>25</v>
      </c>
      <c r="E112" s="2" t="s">
        <v>69</v>
      </c>
      <c r="F112" s="2" t="s">
        <v>38</v>
      </c>
      <c r="G112" t="s">
        <v>64</v>
      </c>
      <c r="H112" s="3">
        <v>33.64</v>
      </c>
      <c r="I112" s="3">
        <v>146.26</v>
      </c>
      <c r="J112" s="3">
        <v>4347.78</v>
      </c>
      <c r="K112" s="1" t="s">
        <v>28</v>
      </c>
      <c r="L112" s="2" t="s">
        <v>22</v>
      </c>
      <c r="M112" s="3">
        <v>121.04</v>
      </c>
      <c r="N112" s="3">
        <v>923.73</v>
      </c>
      <c r="O112" s="2" t="s">
        <v>61</v>
      </c>
      <c r="P112" s="3">
        <v>33.1</v>
      </c>
      <c r="Q112" t="str">
        <f t="shared" si="4"/>
        <v>2021-01</v>
      </c>
      <c r="R112" s="3">
        <f t="shared" si="5"/>
        <v>129.24435196195006</v>
      </c>
      <c r="S112" s="2" t="str">
        <f t="shared" si="3"/>
        <v>Success</v>
      </c>
    </row>
    <row r="113" spans="1:19" x14ac:dyDescent="0.3">
      <c r="A113" t="s">
        <v>177</v>
      </c>
      <c r="B113" s="1">
        <v>41310</v>
      </c>
      <c r="C113">
        <v>2012</v>
      </c>
      <c r="D113" s="2" t="s">
        <v>59</v>
      </c>
      <c r="E113" s="2" t="s">
        <v>93</v>
      </c>
      <c r="F113" s="2" t="s">
        <v>38</v>
      </c>
      <c r="G113" t="s">
        <v>20</v>
      </c>
      <c r="H113" s="3">
        <v>96.8</v>
      </c>
      <c r="I113" s="3">
        <v>502.48</v>
      </c>
      <c r="J113" s="3">
        <v>5190.88</v>
      </c>
      <c r="K113" s="1" t="s">
        <v>28</v>
      </c>
      <c r="L113" s="2" t="s">
        <v>49</v>
      </c>
      <c r="M113" s="3">
        <v>82.24</v>
      </c>
      <c r="N113" s="3">
        <v>908.83</v>
      </c>
      <c r="O113" s="2" t="s">
        <v>23</v>
      </c>
      <c r="P113" s="3">
        <v>24.64</v>
      </c>
      <c r="Q113" t="str">
        <f t="shared" si="4"/>
        <v>2013-02</v>
      </c>
      <c r="R113" s="3">
        <f t="shared" si="5"/>
        <v>53.624793388429758</v>
      </c>
      <c r="S113" s="2" t="str">
        <f t="shared" si="3"/>
        <v>Success</v>
      </c>
    </row>
    <row r="114" spans="1:19" x14ac:dyDescent="0.3">
      <c r="A114" t="s">
        <v>178</v>
      </c>
      <c r="B114" s="1">
        <v>43941</v>
      </c>
      <c r="C114">
        <v>2020</v>
      </c>
      <c r="D114" s="2" t="s">
        <v>44</v>
      </c>
      <c r="E114" s="2" t="s">
        <v>45</v>
      </c>
      <c r="F114" s="2" t="s">
        <v>19</v>
      </c>
      <c r="G114" t="s">
        <v>39</v>
      </c>
      <c r="H114" s="3">
        <v>99.72</v>
      </c>
      <c r="I114" s="3">
        <v>645.66</v>
      </c>
      <c r="J114" s="3">
        <v>6474.69</v>
      </c>
      <c r="K114" s="1" t="s">
        <v>21</v>
      </c>
      <c r="L114" s="2" t="s">
        <v>41</v>
      </c>
      <c r="M114" s="3">
        <v>211.51</v>
      </c>
      <c r="N114" s="3">
        <v>623.41</v>
      </c>
      <c r="O114" s="2" t="s">
        <v>70</v>
      </c>
      <c r="P114" s="3">
        <v>20.27</v>
      </c>
      <c r="Q114" t="str">
        <f t="shared" si="4"/>
        <v>2020-04</v>
      </c>
      <c r="R114" s="3">
        <f t="shared" si="5"/>
        <v>64.928700361010826</v>
      </c>
      <c r="S114" s="2" t="str">
        <f t="shared" si="3"/>
        <v>Success</v>
      </c>
    </row>
    <row r="115" spans="1:19" x14ac:dyDescent="0.3">
      <c r="A115" t="s">
        <v>179</v>
      </c>
      <c r="B115" s="1">
        <v>45000</v>
      </c>
      <c r="C115">
        <v>2022</v>
      </c>
      <c r="D115" s="2" t="s">
        <v>103</v>
      </c>
      <c r="E115" s="2" t="s">
        <v>107</v>
      </c>
      <c r="F115" s="2" t="s">
        <v>38</v>
      </c>
      <c r="G115" t="s">
        <v>56</v>
      </c>
      <c r="H115" s="3">
        <v>23.43</v>
      </c>
      <c r="I115" s="3">
        <v>42.77</v>
      </c>
      <c r="J115" s="3">
        <v>1825.39</v>
      </c>
      <c r="K115" s="1" t="s">
        <v>21</v>
      </c>
      <c r="L115" s="2" t="s">
        <v>22</v>
      </c>
      <c r="M115" s="3">
        <v>123.95</v>
      </c>
      <c r="N115" s="3">
        <v>988.12</v>
      </c>
      <c r="O115" s="2" t="s">
        <v>61</v>
      </c>
      <c r="P115" s="3">
        <v>31.56</v>
      </c>
      <c r="Q115" t="str">
        <f t="shared" si="4"/>
        <v>2023-03</v>
      </c>
      <c r="R115" s="3">
        <f t="shared" si="5"/>
        <v>77.90823730260351</v>
      </c>
      <c r="S115" s="2" t="str">
        <f t="shared" si="3"/>
        <v>Success</v>
      </c>
    </row>
    <row r="116" spans="1:19" x14ac:dyDescent="0.3">
      <c r="A116" t="s">
        <v>180</v>
      </c>
      <c r="B116" s="1">
        <v>44654</v>
      </c>
      <c r="C116">
        <v>2022</v>
      </c>
      <c r="D116" s="2" t="s">
        <v>17</v>
      </c>
      <c r="E116" s="2" t="s">
        <v>72</v>
      </c>
      <c r="F116" s="2" t="s">
        <v>19</v>
      </c>
      <c r="G116" t="s">
        <v>56</v>
      </c>
      <c r="H116" s="3">
        <v>60.13</v>
      </c>
      <c r="I116" s="3">
        <v>115.78</v>
      </c>
      <c r="J116" s="3">
        <v>1925.52</v>
      </c>
      <c r="K116" s="1" t="s">
        <v>40</v>
      </c>
      <c r="L116" s="2" t="s">
        <v>29</v>
      </c>
      <c r="M116" s="3">
        <v>257.83999999999997</v>
      </c>
      <c r="N116" s="3">
        <v>971.1</v>
      </c>
      <c r="O116" s="2" t="s">
        <v>42</v>
      </c>
      <c r="P116" s="3">
        <v>30.82</v>
      </c>
      <c r="Q116" t="str">
        <f t="shared" si="4"/>
        <v>2022-04</v>
      </c>
      <c r="R116" s="3">
        <f t="shared" si="5"/>
        <v>32.022617661732909</v>
      </c>
      <c r="S116" s="2" t="str">
        <f t="shared" si="3"/>
        <v>Success</v>
      </c>
    </row>
    <row r="117" spans="1:19" x14ac:dyDescent="0.3">
      <c r="A117" t="s">
        <v>181</v>
      </c>
      <c r="B117" s="1">
        <v>44397</v>
      </c>
      <c r="C117">
        <v>2021</v>
      </c>
      <c r="D117" s="2" t="s">
        <v>31</v>
      </c>
      <c r="E117" s="2" t="s">
        <v>117</v>
      </c>
      <c r="F117" s="2" t="s">
        <v>33</v>
      </c>
      <c r="G117" t="s">
        <v>46</v>
      </c>
      <c r="H117" s="3">
        <v>61.45</v>
      </c>
      <c r="I117" s="3">
        <v>338.86</v>
      </c>
      <c r="J117" s="3">
        <v>5514.35</v>
      </c>
      <c r="K117" s="1" t="s">
        <v>28</v>
      </c>
      <c r="L117" s="2" t="s">
        <v>49</v>
      </c>
      <c r="M117" s="3">
        <v>108.5</v>
      </c>
      <c r="N117" s="3">
        <v>439.17</v>
      </c>
      <c r="O117" s="2" t="s">
        <v>52</v>
      </c>
      <c r="P117" s="3">
        <v>33.56</v>
      </c>
      <c r="Q117" t="str">
        <f t="shared" si="4"/>
        <v>2021-07</v>
      </c>
      <c r="R117" s="3">
        <f t="shared" si="5"/>
        <v>89.737184703010584</v>
      </c>
      <c r="S117" s="2" t="str">
        <f t="shared" si="3"/>
        <v>Success</v>
      </c>
    </row>
    <row r="118" spans="1:19" x14ac:dyDescent="0.3">
      <c r="A118" t="s">
        <v>182</v>
      </c>
      <c r="B118" s="1">
        <v>43104</v>
      </c>
      <c r="C118">
        <v>2017</v>
      </c>
      <c r="D118" s="2" t="s">
        <v>17</v>
      </c>
      <c r="E118" s="2" t="s">
        <v>54</v>
      </c>
      <c r="F118" s="2" t="s">
        <v>38</v>
      </c>
      <c r="G118" t="s">
        <v>20</v>
      </c>
      <c r="H118" s="3">
        <v>78.03</v>
      </c>
      <c r="I118" s="3">
        <v>313.48</v>
      </c>
      <c r="J118" s="3">
        <v>4017.44</v>
      </c>
      <c r="K118" s="1" t="s">
        <v>28</v>
      </c>
      <c r="L118" s="2" t="s">
        <v>22</v>
      </c>
      <c r="M118" s="3">
        <v>291.57</v>
      </c>
      <c r="N118" s="3">
        <v>1016.89</v>
      </c>
      <c r="O118" s="2" t="s">
        <v>61</v>
      </c>
      <c r="P118" s="3">
        <v>22.08</v>
      </c>
      <c r="Q118" t="str">
        <f t="shared" si="4"/>
        <v>2018-01</v>
      </c>
      <c r="R118" s="3">
        <f t="shared" si="5"/>
        <v>51.485838779956424</v>
      </c>
      <c r="S118" s="2" t="str">
        <f t="shared" si="3"/>
        <v>Success</v>
      </c>
    </row>
    <row r="119" spans="1:19" x14ac:dyDescent="0.3">
      <c r="A119" t="s">
        <v>183</v>
      </c>
      <c r="B119" s="1">
        <v>42127</v>
      </c>
      <c r="C119">
        <v>2015</v>
      </c>
      <c r="D119" s="2" t="s">
        <v>17</v>
      </c>
      <c r="E119" s="2" t="s">
        <v>72</v>
      </c>
      <c r="F119" s="2" t="s">
        <v>19</v>
      </c>
      <c r="G119" t="s">
        <v>64</v>
      </c>
      <c r="H119" s="3">
        <v>71.430000000000007</v>
      </c>
      <c r="I119" s="3">
        <v>292.54000000000002</v>
      </c>
      <c r="J119" s="3">
        <v>4095.46</v>
      </c>
      <c r="K119" s="1" t="s">
        <v>21</v>
      </c>
      <c r="L119" s="2" t="s">
        <v>41</v>
      </c>
      <c r="M119" s="3">
        <v>121.27</v>
      </c>
      <c r="N119" s="3">
        <v>963.12</v>
      </c>
      <c r="O119" s="2" t="s">
        <v>70</v>
      </c>
      <c r="P119" s="3">
        <v>26.74</v>
      </c>
      <c r="Q119" t="str">
        <f t="shared" si="4"/>
        <v>2015-05</v>
      </c>
      <c r="R119" s="3">
        <f t="shared" si="5"/>
        <v>57.335293294134111</v>
      </c>
      <c r="S119" s="2" t="str">
        <f t="shared" si="3"/>
        <v>Success</v>
      </c>
    </row>
    <row r="120" spans="1:19" x14ac:dyDescent="0.3">
      <c r="A120" t="s">
        <v>184</v>
      </c>
      <c r="B120" s="1">
        <v>40715</v>
      </c>
      <c r="C120">
        <v>2011</v>
      </c>
      <c r="D120" s="2" t="s">
        <v>44</v>
      </c>
      <c r="E120" s="2" t="s">
        <v>99</v>
      </c>
      <c r="F120" s="2" t="s">
        <v>33</v>
      </c>
      <c r="G120" t="s">
        <v>46</v>
      </c>
      <c r="H120" s="3">
        <v>88.58</v>
      </c>
      <c r="I120" s="3">
        <v>583.11</v>
      </c>
      <c r="J120" s="3">
        <v>6582.83</v>
      </c>
      <c r="K120" s="1" t="s">
        <v>28</v>
      </c>
      <c r="L120" s="2" t="s">
        <v>49</v>
      </c>
      <c r="M120" s="3">
        <v>63.31</v>
      </c>
      <c r="N120" s="3">
        <v>702.01</v>
      </c>
      <c r="O120" s="2" t="s">
        <v>42</v>
      </c>
      <c r="P120" s="3">
        <v>25.79</v>
      </c>
      <c r="Q120" t="str">
        <f t="shared" si="4"/>
        <v>2011-06</v>
      </c>
      <c r="R120" s="3">
        <f t="shared" si="5"/>
        <v>74.315082411379549</v>
      </c>
      <c r="S120" s="2" t="str">
        <f t="shared" si="3"/>
        <v>Success</v>
      </c>
    </row>
    <row r="121" spans="1:19" x14ac:dyDescent="0.3">
      <c r="A121" t="s">
        <v>185</v>
      </c>
      <c r="B121" s="1">
        <v>42191</v>
      </c>
      <c r="C121">
        <v>2015</v>
      </c>
      <c r="D121" s="2" t="s">
        <v>103</v>
      </c>
      <c r="E121" s="2" t="s">
        <v>104</v>
      </c>
      <c r="F121" s="2" t="s">
        <v>33</v>
      </c>
      <c r="G121" t="s">
        <v>39</v>
      </c>
      <c r="H121" s="3">
        <v>65.349999999999994</v>
      </c>
      <c r="I121" s="3">
        <v>375.65</v>
      </c>
      <c r="J121" s="3">
        <v>5748.28</v>
      </c>
      <c r="K121" s="1" t="s">
        <v>40</v>
      </c>
      <c r="L121" s="2" t="s">
        <v>29</v>
      </c>
      <c r="M121" s="3">
        <v>59.58</v>
      </c>
      <c r="N121" s="3">
        <v>1117.4000000000001</v>
      </c>
      <c r="O121" s="2" t="s">
        <v>52</v>
      </c>
      <c r="P121" s="3">
        <v>30.44</v>
      </c>
      <c r="Q121" t="str">
        <f t="shared" si="4"/>
        <v>2015-07</v>
      </c>
      <c r="R121" s="3">
        <f t="shared" si="5"/>
        <v>87.961438408569251</v>
      </c>
      <c r="S121" s="2" t="str">
        <f t="shared" si="3"/>
        <v>Success</v>
      </c>
    </row>
    <row r="122" spans="1:19" x14ac:dyDescent="0.3">
      <c r="A122" t="s">
        <v>186</v>
      </c>
      <c r="B122" s="1">
        <v>40391</v>
      </c>
      <c r="C122">
        <v>2010</v>
      </c>
      <c r="D122" s="2" t="s">
        <v>36</v>
      </c>
      <c r="E122" s="2" t="s">
        <v>77</v>
      </c>
      <c r="F122" s="2" t="s">
        <v>33</v>
      </c>
      <c r="G122" t="s">
        <v>64</v>
      </c>
      <c r="H122" s="3">
        <v>26.34</v>
      </c>
      <c r="I122" s="3">
        <v>158.30000000000001</v>
      </c>
      <c r="J122" s="3">
        <v>6009.78</v>
      </c>
      <c r="K122" s="1" t="s">
        <v>28</v>
      </c>
      <c r="L122" s="2" t="s">
        <v>29</v>
      </c>
      <c r="M122" s="3">
        <v>77.8</v>
      </c>
      <c r="N122" s="3">
        <v>488.1</v>
      </c>
      <c r="O122" s="2" t="s">
        <v>70</v>
      </c>
      <c r="P122" s="3">
        <v>21.83</v>
      </c>
      <c r="Q122" t="str">
        <f t="shared" si="4"/>
        <v>2010-08</v>
      </c>
      <c r="R122" s="3">
        <f t="shared" si="5"/>
        <v>228.16173120728928</v>
      </c>
      <c r="S122" s="2" t="str">
        <f t="shared" si="3"/>
        <v>Success</v>
      </c>
    </row>
    <row r="123" spans="1:19" x14ac:dyDescent="0.3">
      <c r="A123" t="s">
        <v>187</v>
      </c>
      <c r="B123" s="1">
        <v>42887</v>
      </c>
      <c r="C123">
        <v>2017</v>
      </c>
      <c r="D123" s="2" t="s">
        <v>17</v>
      </c>
      <c r="E123" s="2" t="s">
        <v>54</v>
      </c>
      <c r="F123" s="2" t="s">
        <v>33</v>
      </c>
      <c r="G123" t="s">
        <v>64</v>
      </c>
      <c r="H123" s="3">
        <v>83.83</v>
      </c>
      <c r="I123" s="3">
        <v>335.23</v>
      </c>
      <c r="J123" s="3">
        <v>3998.98</v>
      </c>
      <c r="K123" s="1" t="s">
        <v>21</v>
      </c>
      <c r="L123" s="2" t="s">
        <v>47</v>
      </c>
      <c r="M123" s="3">
        <v>207.99</v>
      </c>
      <c r="N123" s="3">
        <v>775.05</v>
      </c>
      <c r="O123" s="2" t="s">
        <v>42</v>
      </c>
      <c r="P123" s="3">
        <v>24.37</v>
      </c>
      <c r="Q123" t="str">
        <f t="shared" si="4"/>
        <v>2017-06</v>
      </c>
      <c r="R123" s="3">
        <f t="shared" si="5"/>
        <v>47.703447453179052</v>
      </c>
      <c r="S123" s="2" t="str">
        <f t="shared" si="3"/>
        <v>Success</v>
      </c>
    </row>
    <row r="124" spans="1:19" x14ac:dyDescent="0.3">
      <c r="A124" t="s">
        <v>188</v>
      </c>
      <c r="B124" s="1">
        <v>43899</v>
      </c>
      <c r="C124">
        <v>2019</v>
      </c>
      <c r="D124" s="2" t="s">
        <v>31</v>
      </c>
      <c r="E124" s="2" t="s">
        <v>82</v>
      </c>
      <c r="F124" s="2" t="s">
        <v>38</v>
      </c>
      <c r="G124" t="s">
        <v>56</v>
      </c>
      <c r="H124" s="3">
        <v>66.77</v>
      </c>
      <c r="I124" s="3">
        <v>101.07</v>
      </c>
      <c r="J124" s="3">
        <v>1513.68</v>
      </c>
      <c r="K124" s="1" t="s">
        <v>34</v>
      </c>
      <c r="L124" s="2" t="s">
        <v>47</v>
      </c>
      <c r="M124" s="3">
        <v>66.92</v>
      </c>
      <c r="N124" s="3">
        <v>726.06</v>
      </c>
      <c r="O124" s="2" t="s">
        <v>61</v>
      </c>
      <c r="P124" s="3">
        <v>31.8</v>
      </c>
      <c r="Q124" t="str">
        <f t="shared" si="4"/>
        <v>2020-03</v>
      </c>
      <c r="R124" s="3">
        <f t="shared" si="5"/>
        <v>22.670061404822526</v>
      </c>
      <c r="S124" s="2" t="str">
        <f t="shared" si="3"/>
        <v>Success</v>
      </c>
    </row>
    <row r="125" spans="1:19" x14ac:dyDescent="0.3">
      <c r="A125" t="s">
        <v>189</v>
      </c>
      <c r="B125" s="1">
        <v>42913</v>
      </c>
      <c r="C125">
        <v>2017</v>
      </c>
      <c r="D125" s="2" t="s">
        <v>25</v>
      </c>
      <c r="E125" s="2" t="s">
        <v>87</v>
      </c>
      <c r="F125" s="2" t="s">
        <v>33</v>
      </c>
      <c r="G125" t="s">
        <v>39</v>
      </c>
      <c r="H125" s="3">
        <v>39.299999999999997</v>
      </c>
      <c r="I125" s="3">
        <v>127.32</v>
      </c>
      <c r="J125" s="3">
        <v>3239.81</v>
      </c>
      <c r="K125" s="1" t="s">
        <v>21</v>
      </c>
      <c r="L125" s="2" t="s">
        <v>47</v>
      </c>
      <c r="M125" s="3">
        <v>139.27000000000001</v>
      </c>
      <c r="N125" s="3">
        <v>267.56</v>
      </c>
      <c r="O125" s="2" t="s">
        <v>42</v>
      </c>
      <c r="P125" s="3">
        <v>30.99</v>
      </c>
      <c r="Q125" t="str">
        <f t="shared" si="4"/>
        <v>2017-06</v>
      </c>
      <c r="R125" s="3">
        <f t="shared" si="5"/>
        <v>82.437913486005087</v>
      </c>
      <c r="S125" s="2" t="str">
        <f t="shared" si="3"/>
        <v>Success</v>
      </c>
    </row>
    <row r="126" spans="1:19" x14ac:dyDescent="0.3">
      <c r="A126" t="s">
        <v>190</v>
      </c>
      <c r="B126" s="1">
        <v>41095</v>
      </c>
      <c r="C126">
        <v>2012</v>
      </c>
      <c r="D126" s="2" t="s">
        <v>17</v>
      </c>
      <c r="E126" s="2" t="s">
        <v>72</v>
      </c>
      <c r="F126" s="2" t="s">
        <v>33</v>
      </c>
      <c r="G126" t="s">
        <v>20</v>
      </c>
      <c r="H126" s="3">
        <v>55.06</v>
      </c>
      <c r="I126" s="3">
        <v>323.81</v>
      </c>
      <c r="J126" s="3">
        <v>5881.05</v>
      </c>
      <c r="K126" s="1" t="s">
        <v>40</v>
      </c>
      <c r="L126" s="2" t="s">
        <v>22</v>
      </c>
      <c r="M126" s="3">
        <v>257.60000000000002</v>
      </c>
      <c r="N126" s="3">
        <v>884.68</v>
      </c>
      <c r="O126" s="2" t="s">
        <v>52</v>
      </c>
      <c r="P126" s="3">
        <v>29.48</v>
      </c>
      <c r="Q126" t="str">
        <f t="shared" si="4"/>
        <v>2012-07</v>
      </c>
      <c r="R126" s="3">
        <f t="shared" si="5"/>
        <v>106.81166000726481</v>
      </c>
      <c r="S126" s="2" t="str">
        <f t="shared" si="3"/>
        <v>Success</v>
      </c>
    </row>
    <row r="127" spans="1:19" x14ac:dyDescent="0.3">
      <c r="A127" t="s">
        <v>191</v>
      </c>
      <c r="B127" s="1">
        <v>40622</v>
      </c>
      <c r="C127">
        <v>2010</v>
      </c>
      <c r="D127" s="2" t="s">
        <v>17</v>
      </c>
      <c r="E127" s="2" t="s">
        <v>72</v>
      </c>
      <c r="F127" s="2" t="s">
        <v>38</v>
      </c>
      <c r="G127" t="s">
        <v>56</v>
      </c>
      <c r="H127" s="3">
        <v>5.34</v>
      </c>
      <c r="I127" s="3">
        <v>11.73</v>
      </c>
      <c r="J127" s="3">
        <v>2196.8200000000002</v>
      </c>
      <c r="K127" s="1" t="s">
        <v>21</v>
      </c>
      <c r="L127" s="2" t="s">
        <v>29</v>
      </c>
      <c r="M127" s="3">
        <v>128.9</v>
      </c>
      <c r="N127" s="3">
        <v>510.08</v>
      </c>
      <c r="O127" s="2" t="s">
        <v>52</v>
      </c>
      <c r="P127" s="3">
        <v>34.840000000000003</v>
      </c>
      <c r="Q127" t="str">
        <f t="shared" si="4"/>
        <v>2011-03</v>
      </c>
      <c r="R127" s="3">
        <f t="shared" si="5"/>
        <v>411.38951310861427</v>
      </c>
      <c r="S127" s="2" t="str">
        <f t="shared" si="3"/>
        <v>Success</v>
      </c>
    </row>
    <row r="128" spans="1:19" x14ac:dyDescent="0.3">
      <c r="A128" t="s">
        <v>192</v>
      </c>
      <c r="B128" s="1">
        <v>44679</v>
      </c>
      <c r="C128">
        <v>2022</v>
      </c>
      <c r="D128" s="2" t="s">
        <v>31</v>
      </c>
      <c r="E128" s="2" t="s">
        <v>82</v>
      </c>
      <c r="F128" s="2" t="s">
        <v>19</v>
      </c>
      <c r="G128" t="s">
        <v>56</v>
      </c>
      <c r="H128" s="3">
        <v>29.32</v>
      </c>
      <c r="I128" s="3">
        <v>180.99</v>
      </c>
      <c r="J128" s="3">
        <v>6172.83</v>
      </c>
      <c r="K128" s="1" t="s">
        <v>21</v>
      </c>
      <c r="L128" s="2" t="s">
        <v>29</v>
      </c>
      <c r="M128" s="3">
        <v>266.45</v>
      </c>
      <c r="N128" s="3">
        <v>531.91999999999996</v>
      </c>
      <c r="O128" s="2" t="s">
        <v>23</v>
      </c>
      <c r="P128" s="3">
        <v>31.99</v>
      </c>
      <c r="Q128" t="str">
        <f t="shared" si="4"/>
        <v>2022-04</v>
      </c>
      <c r="R128" s="3">
        <f t="shared" si="5"/>
        <v>210.53308321964528</v>
      </c>
      <c r="S128" s="2" t="str">
        <f t="shared" si="3"/>
        <v>Success</v>
      </c>
    </row>
    <row r="129" spans="1:19" x14ac:dyDescent="0.3">
      <c r="A129" t="s">
        <v>193</v>
      </c>
      <c r="B129" s="1">
        <v>42721</v>
      </c>
      <c r="C129">
        <v>2016</v>
      </c>
      <c r="D129" s="2" t="s">
        <v>17</v>
      </c>
      <c r="E129" s="2" t="s">
        <v>72</v>
      </c>
      <c r="F129" s="2" t="s">
        <v>38</v>
      </c>
      <c r="G129" t="s">
        <v>56</v>
      </c>
      <c r="H129" s="3">
        <v>50.12</v>
      </c>
      <c r="I129" s="3">
        <v>199.74</v>
      </c>
      <c r="J129" s="3">
        <v>3985.14</v>
      </c>
      <c r="K129" s="1" t="s">
        <v>34</v>
      </c>
      <c r="L129" s="2" t="s">
        <v>47</v>
      </c>
      <c r="M129" s="3">
        <v>250.29</v>
      </c>
      <c r="N129" s="3">
        <v>927.08</v>
      </c>
      <c r="O129" s="2" t="s">
        <v>23</v>
      </c>
      <c r="P129" s="3">
        <v>26.46</v>
      </c>
      <c r="Q129" t="str">
        <f t="shared" si="4"/>
        <v>2016-12</v>
      </c>
      <c r="R129" s="3">
        <f t="shared" si="5"/>
        <v>79.511971268954511</v>
      </c>
      <c r="S129" s="2" t="str">
        <f t="shared" si="3"/>
        <v>Success</v>
      </c>
    </row>
    <row r="130" spans="1:19" x14ac:dyDescent="0.3">
      <c r="A130" t="s">
        <v>194</v>
      </c>
      <c r="B130" s="1">
        <v>40785</v>
      </c>
      <c r="C130">
        <v>2011</v>
      </c>
      <c r="D130" s="2" t="s">
        <v>31</v>
      </c>
      <c r="E130" s="2" t="s">
        <v>32</v>
      </c>
      <c r="F130" s="2" t="s">
        <v>33</v>
      </c>
      <c r="G130" t="s">
        <v>20</v>
      </c>
      <c r="H130" s="3">
        <v>66.430000000000007</v>
      </c>
      <c r="I130" s="3">
        <v>188.59</v>
      </c>
      <c r="J130" s="3">
        <v>2838.98</v>
      </c>
      <c r="K130" s="1" t="s">
        <v>28</v>
      </c>
      <c r="L130" s="2" t="s">
        <v>47</v>
      </c>
      <c r="M130" s="3">
        <v>91.66</v>
      </c>
      <c r="N130" s="3">
        <v>643.91</v>
      </c>
      <c r="O130" s="2" t="s">
        <v>52</v>
      </c>
      <c r="P130" s="3">
        <v>20.64</v>
      </c>
      <c r="Q130" t="str">
        <f t="shared" si="4"/>
        <v>2011-08</v>
      </c>
      <c r="R130" s="3">
        <f t="shared" si="5"/>
        <v>42.736414270660845</v>
      </c>
      <c r="S130" s="2" t="str">
        <f t="shared" ref="S130:S193" si="6">IF(R130&lt;=0, "Failure","Success")</f>
        <v>Success</v>
      </c>
    </row>
    <row r="131" spans="1:19" x14ac:dyDescent="0.3">
      <c r="A131" t="s">
        <v>195</v>
      </c>
      <c r="B131" s="1">
        <v>44095</v>
      </c>
      <c r="C131">
        <v>2020</v>
      </c>
      <c r="D131" s="2" t="s">
        <v>36</v>
      </c>
      <c r="E131" s="2" t="s">
        <v>51</v>
      </c>
      <c r="F131" s="2" t="s">
        <v>33</v>
      </c>
      <c r="G131" t="s">
        <v>64</v>
      </c>
      <c r="H131" s="3">
        <v>67.45</v>
      </c>
      <c r="I131" s="3">
        <v>231.84</v>
      </c>
      <c r="J131" s="3">
        <v>3437.26</v>
      </c>
      <c r="K131" s="1" t="s">
        <v>40</v>
      </c>
      <c r="L131" s="2" t="s">
        <v>22</v>
      </c>
      <c r="M131" s="3">
        <v>288.2</v>
      </c>
      <c r="N131" s="3">
        <v>342.78</v>
      </c>
      <c r="O131" s="2" t="s">
        <v>61</v>
      </c>
      <c r="P131" s="3">
        <v>30.17</v>
      </c>
      <c r="Q131" t="str">
        <f t="shared" ref="Q131:Q194" si="7">TEXT(B131,"yyyy-mm")</f>
        <v>2020-09</v>
      </c>
      <c r="R131" s="3">
        <f t="shared" ref="R131:R194" si="8">J131/H131</f>
        <v>50.960118606375097</v>
      </c>
      <c r="S131" s="2" t="str">
        <f t="shared" si="6"/>
        <v>Success</v>
      </c>
    </row>
    <row r="132" spans="1:19" x14ac:dyDescent="0.3">
      <c r="A132" t="s">
        <v>196</v>
      </c>
      <c r="B132" s="1">
        <v>41413</v>
      </c>
      <c r="C132">
        <v>2013</v>
      </c>
      <c r="D132" s="2" t="s">
        <v>103</v>
      </c>
      <c r="E132" s="2" t="s">
        <v>104</v>
      </c>
      <c r="F132" s="2" t="s">
        <v>19</v>
      </c>
      <c r="G132" t="s">
        <v>20</v>
      </c>
      <c r="H132" s="3">
        <v>36.85</v>
      </c>
      <c r="I132" s="3">
        <v>246.78</v>
      </c>
      <c r="J132" s="3">
        <v>6696.8</v>
      </c>
      <c r="K132" s="1" t="s">
        <v>21</v>
      </c>
      <c r="L132" s="2" t="s">
        <v>22</v>
      </c>
      <c r="M132" s="3">
        <v>201.27</v>
      </c>
      <c r="N132" s="3">
        <v>879.06</v>
      </c>
      <c r="O132" s="2" t="s">
        <v>70</v>
      </c>
      <c r="P132" s="3">
        <v>25.58</v>
      </c>
      <c r="Q132" t="str">
        <f t="shared" si="7"/>
        <v>2013-05</v>
      </c>
      <c r="R132" s="3">
        <f t="shared" si="8"/>
        <v>181.73134328358208</v>
      </c>
      <c r="S132" s="2" t="str">
        <f t="shared" si="6"/>
        <v>Success</v>
      </c>
    </row>
    <row r="133" spans="1:19" x14ac:dyDescent="0.3">
      <c r="A133" t="s">
        <v>197</v>
      </c>
      <c r="B133" s="1">
        <v>43548</v>
      </c>
      <c r="C133">
        <v>2018</v>
      </c>
      <c r="D133" s="2" t="s">
        <v>59</v>
      </c>
      <c r="E133" s="2" t="s">
        <v>60</v>
      </c>
      <c r="F133" s="2" t="s">
        <v>38</v>
      </c>
      <c r="G133" t="s">
        <v>46</v>
      </c>
      <c r="H133" s="3">
        <v>32.119999999999997</v>
      </c>
      <c r="I133" s="3">
        <v>85.83</v>
      </c>
      <c r="J133" s="3">
        <v>2672.14</v>
      </c>
      <c r="K133" s="1" t="s">
        <v>21</v>
      </c>
      <c r="L133" s="2" t="s">
        <v>22</v>
      </c>
      <c r="M133" s="3">
        <v>56.48</v>
      </c>
      <c r="N133" s="3">
        <v>386.05</v>
      </c>
      <c r="O133" s="2" t="s">
        <v>61</v>
      </c>
      <c r="P133" s="3">
        <v>25.8</v>
      </c>
      <c r="Q133" t="str">
        <f t="shared" si="7"/>
        <v>2019-03</v>
      </c>
      <c r="R133" s="3">
        <f t="shared" si="8"/>
        <v>83.192403486924036</v>
      </c>
      <c r="S133" s="2" t="str">
        <f t="shared" si="6"/>
        <v>Success</v>
      </c>
    </row>
    <row r="134" spans="1:19" x14ac:dyDescent="0.3">
      <c r="A134" t="s">
        <v>198</v>
      </c>
      <c r="B134" s="1">
        <v>44614</v>
      </c>
      <c r="C134">
        <v>2021</v>
      </c>
      <c r="D134" s="2" t="s">
        <v>31</v>
      </c>
      <c r="E134" s="2" t="s">
        <v>32</v>
      </c>
      <c r="F134" s="2" t="s">
        <v>38</v>
      </c>
      <c r="G134" t="s">
        <v>56</v>
      </c>
      <c r="H134" s="3">
        <v>99.64</v>
      </c>
      <c r="I134" s="3">
        <v>270.37</v>
      </c>
      <c r="J134" s="3">
        <v>2713.46</v>
      </c>
      <c r="K134" s="1" t="s">
        <v>28</v>
      </c>
      <c r="L134" s="2" t="s">
        <v>22</v>
      </c>
      <c r="M134" s="3">
        <v>100.04</v>
      </c>
      <c r="N134" s="3">
        <v>335.73</v>
      </c>
      <c r="O134" s="2" t="s">
        <v>23</v>
      </c>
      <c r="P134" s="3">
        <v>26.78</v>
      </c>
      <c r="Q134" t="str">
        <f t="shared" si="7"/>
        <v>2022-02</v>
      </c>
      <c r="R134" s="3">
        <f t="shared" si="8"/>
        <v>27.232637494981937</v>
      </c>
      <c r="S134" s="2" t="str">
        <f t="shared" si="6"/>
        <v>Success</v>
      </c>
    </row>
    <row r="135" spans="1:19" x14ac:dyDescent="0.3">
      <c r="A135" t="s">
        <v>199</v>
      </c>
      <c r="B135" s="1">
        <v>42127</v>
      </c>
      <c r="C135">
        <v>2015</v>
      </c>
      <c r="D135" s="2" t="s">
        <v>44</v>
      </c>
      <c r="E135" s="2" t="s">
        <v>67</v>
      </c>
      <c r="F135" s="2" t="s">
        <v>19</v>
      </c>
      <c r="G135" t="s">
        <v>20</v>
      </c>
      <c r="H135" s="3">
        <v>71.239999999999995</v>
      </c>
      <c r="I135" s="3">
        <v>306.33</v>
      </c>
      <c r="J135" s="3">
        <v>4299.9799999999996</v>
      </c>
      <c r="K135" s="1" t="s">
        <v>34</v>
      </c>
      <c r="L135" s="2" t="s">
        <v>41</v>
      </c>
      <c r="M135" s="3">
        <v>272.83</v>
      </c>
      <c r="N135" s="3">
        <v>1051.3599999999999</v>
      </c>
      <c r="O135" s="2" t="s">
        <v>42</v>
      </c>
      <c r="P135" s="3">
        <v>31.91</v>
      </c>
      <c r="Q135" t="str">
        <f t="shared" si="7"/>
        <v>2015-05</v>
      </c>
      <c r="R135" s="3">
        <f t="shared" si="8"/>
        <v>60.35906793935991</v>
      </c>
      <c r="S135" s="2" t="str">
        <f t="shared" si="6"/>
        <v>Success</v>
      </c>
    </row>
    <row r="136" spans="1:19" x14ac:dyDescent="0.3">
      <c r="A136" t="s">
        <v>200</v>
      </c>
      <c r="B136" s="1">
        <v>44735</v>
      </c>
      <c r="C136">
        <v>2022</v>
      </c>
      <c r="D136" s="2" t="s">
        <v>25</v>
      </c>
      <c r="E136" s="2" t="s">
        <v>26</v>
      </c>
      <c r="F136" s="2" t="s">
        <v>33</v>
      </c>
      <c r="G136" t="s">
        <v>56</v>
      </c>
      <c r="H136" s="3">
        <v>79.25</v>
      </c>
      <c r="I136" s="3">
        <v>91.75</v>
      </c>
      <c r="J136" s="3">
        <v>1157.7</v>
      </c>
      <c r="K136" s="1" t="s">
        <v>34</v>
      </c>
      <c r="L136" s="2" t="s">
        <v>22</v>
      </c>
      <c r="M136" s="3">
        <v>166.85</v>
      </c>
      <c r="N136" s="3">
        <v>1183.01</v>
      </c>
      <c r="O136" s="2" t="s">
        <v>42</v>
      </c>
      <c r="P136" s="3">
        <v>29.18</v>
      </c>
      <c r="Q136" t="str">
        <f t="shared" si="7"/>
        <v>2022-06</v>
      </c>
      <c r="R136" s="3">
        <f t="shared" si="8"/>
        <v>14.60820189274448</v>
      </c>
      <c r="S136" s="2" t="str">
        <f t="shared" si="6"/>
        <v>Success</v>
      </c>
    </row>
    <row r="137" spans="1:19" x14ac:dyDescent="0.3">
      <c r="A137" t="s">
        <v>201</v>
      </c>
      <c r="B137" s="1">
        <v>44330</v>
      </c>
      <c r="C137">
        <v>2021</v>
      </c>
      <c r="D137" s="2" t="s">
        <v>31</v>
      </c>
      <c r="E137" s="2" t="s">
        <v>32</v>
      </c>
      <c r="F137" s="2" t="s">
        <v>19</v>
      </c>
      <c r="G137" t="s">
        <v>46</v>
      </c>
      <c r="H137" s="3">
        <v>53.04</v>
      </c>
      <c r="I137" s="3">
        <v>297.82</v>
      </c>
      <c r="J137" s="3">
        <v>5614.99</v>
      </c>
      <c r="K137" s="1" t="s">
        <v>21</v>
      </c>
      <c r="L137" s="2" t="s">
        <v>47</v>
      </c>
      <c r="M137" s="3">
        <v>81.33</v>
      </c>
      <c r="N137" s="3">
        <v>517.03</v>
      </c>
      <c r="O137" s="2" t="s">
        <v>23</v>
      </c>
      <c r="P137" s="3">
        <v>26.75</v>
      </c>
      <c r="Q137" t="str">
        <f t="shared" si="7"/>
        <v>2021-05</v>
      </c>
      <c r="R137" s="3">
        <f t="shared" si="8"/>
        <v>105.86331070889894</v>
      </c>
      <c r="S137" s="2" t="str">
        <f t="shared" si="6"/>
        <v>Success</v>
      </c>
    </row>
    <row r="138" spans="1:19" x14ac:dyDescent="0.3">
      <c r="A138" t="s">
        <v>202</v>
      </c>
      <c r="B138" s="1">
        <v>44685</v>
      </c>
      <c r="C138">
        <v>2022</v>
      </c>
      <c r="D138" s="2" t="s">
        <v>31</v>
      </c>
      <c r="E138" s="2" t="s">
        <v>82</v>
      </c>
      <c r="F138" s="2" t="s">
        <v>19</v>
      </c>
      <c r="G138" t="s">
        <v>39</v>
      </c>
      <c r="H138" s="3">
        <v>59.19</v>
      </c>
      <c r="I138" s="3">
        <v>331.86</v>
      </c>
      <c r="J138" s="3">
        <v>5606.69</v>
      </c>
      <c r="K138" s="1" t="s">
        <v>40</v>
      </c>
      <c r="L138" s="2" t="s">
        <v>41</v>
      </c>
      <c r="M138" s="3">
        <v>158.15</v>
      </c>
      <c r="N138" s="3">
        <v>1110.71</v>
      </c>
      <c r="O138" s="2" t="s">
        <v>23</v>
      </c>
      <c r="P138" s="3">
        <v>32.47</v>
      </c>
      <c r="Q138" t="str">
        <f t="shared" si="7"/>
        <v>2022-05</v>
      </c>
      <c r="R138" s="3">
        <f t="shared" si="8"/>
        <v>94.7236019597905</v>
      </c>
      <c r="S138" s="2" t="str">
        <f t="shared" si="6"/>
        <v>Success</v>
      </c>
    </row>
    <row r="139" spans="1:19" x14ac:dyDescent="0.3">
      <c r="A139" t="s">
        <v>203</v>
      </c>
      <c r="B139" s="1">
        <v>41291</v>
      </c>
      <c r="C139">
        <v>2012</v>
      </c>
      <c r="D139" s="2" t="s">
        <v>31</v>
      </c>
      <c r="E139" s="2" t="s">
        <v>82</v>
      </c>
      <c r="F139" s="2" t="s">
        <v>38</v>
      </c>
      <c r="G139" t="s">
        <v>39</v>
      </c>
      <c r="H139" s="3">
        <v>23.32</v>
      </c>
      <c r="I139" s="3">
        <v>155.88999999999999</v>
      </c>
      <c r="J139" s="3">
        <v>6684.9</v>
      </c>
      <c r="K139" s="1" t="s">
        <v>34</v>
      </c>
      <c r="L139" s="2" t="s">
        <v>47</v>
      </c>
      <c r="M139" s="3">
        <v>261.48</v>
      </c>
      <c r="N139" s="3">
        <v>450.61</v>
      </c>
      <c r="O139" s="2" t="s">
        <v>61</v>
      </c>
      <c r="P139" s="3">
        <v>24.12</v>
      </c>
      <c r="Q139" t="str">
        <f t="shared" si="7"/>
        <v>2013-01</v>
      </c>
      <c r="R139" s="3">
        <f t="shared" si="8"/>
        <v>286.65951972555746</v>
      </c>
      <c r="S139" s="2" t="str">
        <f t="shared" si="6"/>
        <v>Success</v>
      </c>
    </row>
    <row r="140" spans="1:19" x14ac:dyDescent="0.3">
      <c r="A140" t="s">
        <v>204</v>
      </c>
      <c r="B140" s="1">
        <v>43250</v>
      </c>
      <c r="C140">
        <v>2018</v>
      </c>
      <c r="D140" s="2" t="s">
        <v>59</v>
      </c>
      <c r="E140" s="2" t="s">
        <v>60</v>
      </c>
      <c r="F140" s="2" t="s">
        <v>19</v>
      </c>
      <c r="G140" t="s">
        <v>56</v>
      </c>
      <c r="H140" s="3">
        <v>59.59</v>
      </c>
      <c r="I140" s="3">
        <v>267.19</v>
      </c>
      <c r="J140" s="3">
        <v>4483.88</v>
      </c>
      <c r="K140" s="1" t="s">
        <v>40</v>
      </c>
      <c r="L140" s="2" t="s">
        <v>47</v>
      </c>
      <c r="M140" s="3">
        <v>214.68</v>
      </c>
      <c r="N140" s="3">
        <v>920.63</v>
      </c>
      <c r="O140" s="2" t="s">
        <v>61</v>
      </c>
      <c r="P140" s="3">
        <v>25.06</v>
      </c>
      <c r="Q140" t="str">
        <f t="shared" si="7"/>
        <v>2018-05</v>
      </c>
      <c r="R140" s="3">
        <f t="shared" si="8"/>
        <v>75.245510991777138</v>
      </c>
      <c r="S140" s="2" t="str">
        <f t="shared" si="6"/>
        <v>Success</v>
      </c>
    </row>
    <row r="141" spans="1:19" x14ac:dyDescent="0.3">
      <c r="A141" t="s">
        <v>205</v>
      </c>
      <c r="B141" s="1">
        <v>40834</v>
      </c>
      <c r="C141">
        <v>2011</v>
      </c>
      <c r="D141" s="2" t="s">
        <v>25</v>
      </c>
      <c r="E141" s="2" t="s">
        <v>26</v>
      </c>
      <c r="F141" s="2" t="s">
        <v>33</v>
      </c>
      <c r="G141" t="s">
        <v>39</v>
      </c>
      <c r="H141" s="3">
        <v>77.33</v>
      </c>
      <c r="I141" s="3">
        <v>200.13</v>
      </c>
      <c r="J141" s="3">
        <v>2587.94</v>
      </c>
      <c r="K141" s="1" t="s">
        <v>40</v>
      </c>
      <c r="L141" s="2" t="s">
        <v>49</v>
      </c>
      <c r="M141" s="3">
        <v>241.74</v>
      </c>
      <c r="N141" s="3">
        <v>616.59</v>
      </c>
      <c r="O141" s="2" t="s">
        <v>23</v>
      </c>
      <c r="P141" s="3">
        <v>27.47</v>
      </c>
      <c r="Q141" t="str">
        <f t="shared" si="7"/>
        <v>2011-10</v>
      </c>
      <c r="R141" s="3">
        <f t="shared" si="8"/>
        <v>33.466183887236518</v>
      </c>
      <c r="S141" s="2" t="str">
        <f t="shared" si="6"/>
        <v>Success</v>
      </c>
    </row>
    <row r="142" spans="1:19" x14ac:dyDescent="0.3">
      <c r="A142" t="s">
        <v>206</v>
      </c>
      <c r="B142" s="1">
        <v>42923</v>
      </c>
      <c r="C142">
        <v>2017</v>
      </c>
      <c r="D142" s="2" t="s">
        <v>17</v>
      </c>
      <c r="E142" s="2" t="s">
        <v>72</v>
      </c>
      <c r="F142" s="2" t="s">
        <v>33</v>
      </c>
      <c r="G142" t="s">
        <v>39</v>
      </c>
      <c r="H142" s="3">
        <v>41.2</v>
      </c>
      <c r="I142" s="3">
        <v>153.32</v>
      </c>
      <c r="J142" s="3">
        <v>3721.26</v>
      </c>
      <c r="K142" s="1" t="s">
        <v>21</v>
      </c>
      <c r="L142" s="2" t="s">
        <v>49</v>
      </c>
      <c r="M142" s="3">
        <v>89.52</v>
      </c>
      <c r="N142" s="3">
        <v>615.62</v>
      </c>
      <c r="O142" s="2" t="s">
        <v>52</v>
      </c>
      <c r="P142" s="3">
        <v>23.06</v>
      </c>
      <c r="Q142" t="str">
        <f t="shared" si="7"/>
        <v>2017-07</v>
      </c>
      <c r="R142" s="3">
        <f t="shared" si="8"/>
        <v>90.321844660194174</v>
      </c>
      <c r="S142" s="2" t="str">
        <f t="shared" si="6"/>
        <v>Success</v>
      </c>
    </row>
    <row r="143" spans="1:19" x14ac:dyDescent="0.3">
      <c r="A143" t="s">
        <v>207</v>
      </c>
      <c r="B143" s="1">
        <v>42112</v>
      </c>
      <c r="C143">
        <v>2015</v>
      </c>
      <c r="D143" s="2" t="s">
        <v>44</v>
      </c>
      <c r="E143" s="2" t="s">
        <v>67</v>
      </c>
      <c r="F143" s="2" t="s">
        <v>19</v>
      </c>
      <c r="G143" t="s">
        <v>20</v>
      </c>
      <c r="H143" s="3">
        <v>97.56</v>
      </c>
      <c r="I143" s="3">
        <v>174.11</v>
      </c>
      <c r="J143" s="3">
        <v>1784.6</v>
      </c>
      <c r="K143" s="1" t="s">
        <v>34</v>
      </c>
      <c r="L143" s="2" t="s">
        <v>29</v>
      </c>
      <c r="M143" s="3">
        <v>178.75</v>
      </c>
      <c r="N143" s="3">
        <v>306.18</v>
      </c>
      <c r="O143" s="2" t="s">
        <v>42</v>
      </c>
      <c r="P143" s="3">
        <v>27</v>
      </c>
      <c r="Q143" t="str">
        <f t="shared" si="7"/>
        <v>2015-04</v>
      </c>
      <c r="R143" s="3">
        <f t="shared" si="8"/>
        <v>18.292332923329234</v>
      </c>
      <c r="S143" s="2" t="str">
        <f t="shared" si="6"/>
        <v>Success</v>
      </c>
    </row>
    <row r="144" spans="1:19" x14ac:dyDescent="0.3">
      <c r="A144" t="s">
        <v>208</v>
      </c>
      <c r="B144" s="1">
        <v>40842</v>
      </c>
      <c r="C144">
        <v>2011</v>
      </c>
      <c r="D144" s="2" t="s">
        <v>103</v>
      </c>
      <c r="E144" s="2" t="s">
        <v>104</v>
      </c>
      <c r="F144" s="2" t="s">
        <v>33</v>
      </c>
      <c r="G144" t="s">
        <v>20</v>
      </c>
      <c r="H144" s="3">
        <v>94.59</v>
      </c>
      <c r="I144" s="3">
        <v>585.04</v>
      </c>
      <c r="J144" s="3">
        <v>6184.98</v>
      </c>
      <c r="K144" s="1" t="s">
        <v>28</v>
      </c>
      <c r="L144" s="2" t="s">
        <v>49</v>
      </c>
      <c r="M144" s="3">
        <v>112.07</v>
      </c>
      <c r="N144" s="3">
        <v>1065.31</v>
      </c>
      <c r="O144" s="2" t="s">
        <v>42</v>
      </c>
      <c r="P144" s="3">
        <v>32.200000000000003</v>
      </c>
      <c r="Q144" t="str">
        <f t="shared" si="7"/>
        <v>2011-10</v>
      </c>
      <c r="R144" s="3">
        <f t="shared" si="8"/>
        <v>65.387250237868685</v>
      </c>
      <c r="S144" s="2" t="str">
        <f t="shared" si="6"/>
        <v>Success</v>
      </c>
    </row>
    <row r="145" spans="1:19" x14ac:dyDescent="0.3">
      <c r="A145" t="s">
        <v>209</v>
      </c>
      <c r="B145" s="1">
        <v>42839</v>
      </c>
      <c r="C145">
        <v>2017</v>
      </c>
      <c r="D145" s="2" t="s">
        <v>103</v>
      </c>
      <c r="E145" s="2" t="s">
        <v>104</v>
      </c>
      <c r="F145" s="2" t="s">
        <v>19</v>
      </c>
      <c r="G145" t="s">
        <v>46</v>
      </c>
      <c r="H145" s="3">
        <v>50.38</v>
      </c>
      <c r="I145" s="3">
        <v>143.65</v>
      </c>
      <c r="J145" s="3">
        <v>2851.24</v>
      </c>
      <c r="K145" s="1" t="s">
        <v>21</v>
      </c>
      <c r="L145" s="2" t="s">
        <v>47</v>
      </c>
      <c r="M145" s="3">
        <v>72.510000000000005</v>
      </c>
      <c r="N145" s="3">
        <v>593.24</v>
      </c>
      <c r="O145" s="2" t="s">
        <v>52</v>
      </c>
      <c r="P145" s="3">
        <v>34.5</v>
      </c>
      <c r="Q145" t="str">
        <f t="shared" si="7"/>
        <v>2017-04</v>
      </c>
      <c r="R145" s="3">
        <f t="shared" si="8"/>
        <v>56.594680428741555</v>
      </c>
      <c r="S145" s="2" t="str">
        <f t="shared" si="6"/>
        <v>Success</v>
      </c>
    </row>
    <row r="146" spans="1:19" x14ac:dyDescent="0.3">
      <c r="A146" t="s">
        <v>210</v>
      </c>
      <c r="B146" s="1">
        <v>40550</v>
      </c>
      <c r="C146">
        <v>2010</v>
      </c>
      <c r="D146" s="2" t="s">
        <v>31</v>
      </c>
      <c r="E146" s="2" t="s">
        <v>82</v>
      </c>
      <c r="F146" s="2" t="s">
        <v>38</v>
      </c>
      <c r="G146" t="s">
        <v>46</v>
      </c>
      <c r="H146" s="3">
        <v>60.15</v>
      </c>
      <c r="I146" s="3">
        <v>364.33</v>
      </c>
      <c r="J146" s="3">
        <v>6057.1</v>
      </c>
      <c r="K146" s="1" t="s">
        <v>28</v>
      </c>
      <c r="L146" s="2" t="s">
        <v>49</v>
      </c>
      <c r="M146" s="3">
        <v>121.44</v>
      </c>
      <c r="N146" s="3">
        <v>208.18</v>
      </c>
      <c r="O146" s="2" t="s">
        <v>23</v>
      </c>
      <c r="P146" s="3">
        <v>26.46</v>
      </c>
      <c r="Q146" t="str">
        <f t="shared" si="7"/>
        <v>2011-01</v>
      </c>
      <c r="R146" s="3">
        <f t="shared" si="8"/>
        <v>100.69991687448048</v>
      </c>
      <c r="S146" s="2" t="str">
        <f t="shared" si="6"/>
        <v>Success</v>
      </c>
    </row>
    <row r="147" spans="1:19" x14ac:dyDescent="0.3">
      <c r="A147" t="s">
        <v>211</v>
      </c>
      <c r="B147" s="1">
        <v>42296</v>
      </c>
      <c r="C147">
        <v>2015</v>
      </c>
      <c r="D147" s="2" t="s">
        <v>44</v>
      </c>
      <c r="E147" s="2" t="s">
        <v>99</v>
      </c>
      <c r="F147" s="2" t="s">
        <v>33</v>
      </c>
      <c r="G147" t="s">
        <v>46</v>
      </c>
      <c r="H147" s="3">
        <v>6.06</v>
      </c>
      <c r="I147" s="3">
        <v>26.49</v>
      </c>
      <c r="J147" s="3">
        <v>4370.8999999999996</v>
      </c>
      <c r="K147" s="1" t="s">
        <v>34</v>
      </c>
      <c r="L147" s="2" t="s">
        <v>49</v>
      </c>
      <c r="M147" s="3">
        <v>188.31</v>
      </c>
      <c r="N147" s="3">
        <v>273.52999999999997</v>
      </c>
      <c r="O147" s="2" t="s">
        <v>61</v>
      </c>
      <c r="P147" s="3">
        <v>26.76</v>
      </c>
      <c r="Q147" t="str">
        <f t="shared" si="7"/>
        <v>2015-10</v>
      </c>
      <c r="R147" s="3">
        <f t="shared" si="8"/>
        <v>721.27062706270624</v>
      </c>
      <c r="S147" s="2" t="str">
        <f t="shared" si="6"/>
        <v>Success</v>
      </c>
    </row>
    <row r="148" spans="1:19" x14ac:dyDescent="0.3">
      <c r="A148" t="s">
        <v>212</v>
      </c>
      <c r="B148" s="1">
        <v>43934</v>
      </c>
      <c r="C148">
        <v>2020</v>
      </c>
      <c r="D148" s="2" t="s">
        <v>44</v>
      </c>
      <c r="E148" s="2" t="s">
        <v>67</v>
      </c>
      <c r="F148" s="2" t="s">
        <v>19</v>
      </c>
      <c r="G148" t="s">
        <v>64</v>
      </c>
      <c r="H148" s="3">
        <v>13.74</v>
      </c>
      <c r="I148" s="3">
        <v>21.71</v>
      </c>
      <c r="J148" s="3">
        <v>1580.09</v>
      </c>
      <c r="K148" s="1" t="s">
        <v>34</v>
      </c>
      <c r="L148" s="2" t="s">
        <v>47</v>
      </c>
      <c r="M148" s="3">
        <v>248.72</v>
      </c>
      <c r="N148" s="3">
        <v>539.09</v>
      </c>
      <c r="O148" s="2" t="s">
        <v>70</v>
      </c>
      <c r="P148" s="3">
        <v>31.32</v>
      </c>
      <c r="Q148" t="str">
        <f t="shared" si="7"/>
        <v>2020-04</v>
      </c>
      <c r="R148" s="3">
        <f t="shared" si="8"/>
        <v>114.99927219796214</v>
      </c>
      <c r="S148" s="2" t="str">
        <f t="shared" si="6"/>
        <v>Success</v>
      </c>
    </row>
    <row r="149" spans="1:19" x14ac:dyDescent="0.3">
      <c r="A149" t="s">
        <v>213</v>
      </c>
      <c r="B149" s="1">
        <v>43333</v>
      </c>
      <c r="C149">
        <v>2018</v>
      </c>
      <c r="D149" s="2" t="s">
        <v>59</v>
      </c>
      <c r="E149" s="2" t="s">
        <v>63</v>
      </c>
      <c r="F149" s="2" t="s">
        <v>33</v>
      </c>
      <c r="G149" t="s">
        <v>64</v>
      </c>
      <c r="H149" s="3">
        <v>4.8499999999999996</v>
      </c>
      <c r="I149" s="3">
        <v>25.62</v>
      </c>
      <c r="J149" s="3">
        <v>5281.55</v>
      </c>
      <c r="K149" s="1" t="s">
        <v>28</v>
      </c>
      <c r="L149" s="2" t="s">
        <v>41</v>
      </c>
      <c r="M149" s="3">
        <v>179.83</v>
      </c>
      <c r="N149" s="3">
        <v>348.94</v>
      </c>
      <c r="O149" s="2" t="s">
        <v>61</v>
      </c>
      <c r="P149" s="3">
        <v>22.1</v>
      </c>
      <c r="Q149" t="str">
        <f t="shared" si="7"/>
        <v>2018-08</v>
      </c>
      <c r="R149" s="3">
        <f t="shared" si="8"/>
        <v>1088.9793814432992</v>
      </c>
      <c r="S149" s="2" t="str">
        <f t="shared" si="6"/>
        <v>Success</v>
      </c>
    </row>
    <row r="150" spans="1:19" x14ac:dyDescent="0.3">
      <c r="A150" t="s">
        <v>214</v>
      </c>
      <c r="B150" s="1">
        <v>44529</v>
      </c>
      <c r="C150">
        <v>2021</v>
      </c>
      <c r="D150" s="2" t="s">
        <v>36</v>
      </c>
      <c r="E150" s="2" t="s">
        <v>77</v>
      </c>
      <c r="F150" s="2" t="s">
        <v>38</v>
      </c>
      <c r="G150" t="s">
        <v>27</v>
      </c>
      <c r="H150" s="3">
        <v>34.299999999999997</v>
      </c>
      <c r="I150" s="3">
        <v>204.76</v>
      </c>
      <c r="J150" s="3">
        <v>5969.74</v>
      </c>
      <c r="K150" s="1" t="s">
        <v>28</v>
      </c>
      <c r="L150" s="2" t="s">
        <v>29</v>
      </c>
      <c r="M150" s="3">
        <v>227.18</v>
      </c>
      <c r="N150" s="3">
        <v>499.79</v>
      </c>
      <c r="O150" s="2" t="s">
        <v>23</v>
      </c>
      <c r="P150" s="3">
        <v>25.53</v>
      </c>
      <c r="Q150" t="str">
        <f t="shared" si="7"/>
        <v>2021-11</v>
      </c>
      <c r="R150" s="3">
        <f t="shared" si="8"/>
        <v>174.04489795918369</v>
      </c>
      <c r="S150" s="2" t="str">
        <f t="shared" si="6"/>
        <v>Success</v>
      </c>
    </row>
    <row r="151" spans="1:19" x14ac:dyDescent="0.3">
      <c r="A151" t="s">
        <v>215</v>
      </c>
      <c r="B151" s="1">
        <v>44698</v>
      </c>
      <c r="C151">
        <v>2022</v>
      </c>
      <c r="D151" s="2" t="s">
        <v>59</v>
      </c>
      <c r="E151" s="2" t="s">
        <v>63</v>
      </c>
      <c r="F151" s="2" t="s">
        <v>19</v>
      </c>
      <c r="G151" t="s">
        <v>39</v>
      </c>
      <c r="H151" s="3">
        <v>63.3</v>
      </c>
      <c r="I151" s="3">
        <v>290.01</v>
      </c>
      <c r="J151" s="3">
        <v>4581.46</v>
      </c>
      <c r="K151" s="1" t="s">
        <v>34</v>
      </c>
      <c r="L151" s="2" t="s">
        <v>22</v>
      </c>
      <c r="M151" s="3">
        <v>291.77</v>
      </c>
      <c r="N151" s="3">
        <v>982.9</v>
      </c>
      <c r="O151" s="2" t="s">
        <v>61</v>
      </c>
      <c r="P151" s="3">
        <v>28.66</v>
      </c>
      <c r="Q151" t="str">
        <f t="shared" si="7"/>
        <v>2022-05</v>
      </c>
      <c r="R151" s="3">
        <f t="shared" si="8"/>
        <v>72.376935229067939</v>
      </c>
      <c r="S151" s="2" t="str">
        <f t="shared" si="6"/>
        <v>Success</v>
      </c>
    </row>
    <row r="152" spans="1:19" x14ac:dyDescent="0.3">
      <c r="A152" t="s">
        <v>216</v>
      </c>
      <c r="B152" s="1">
        <v>41044</v>
      </c>
      <c r="C152">
        <v>2012</v>
      </c>
      <c r="D152" s="2" t="s">
        <v>59</v>
      </c>
      <c r="E152" s="2" t="s">
        <v>63</v>
      </c>
      <c r="F152" s="2" t="s">
        <v>19</v>
      </c>
      <c r="G152" t="s">
        <v>39</v>
      </c>
      <c r="H152" s="3">
        <v>72.400000000000006</v>
      </c>
      <c r="I152" s="3">
        <v>408.89</v>
      </c>
      <c r="J152" s="3">
        <v>5647.64</v>
      </c>
      <c r="K152" s="1" t="s">
        <v>28</v>
      </c>
      <c r="L152" s="2" t="s">
        <v>22</v>
      </c>
      <c r="M152" s="3">
        <v>86.94</v>
      </c>
      <c r="N152" s="3">
        <v>880.73</v>
      </c>
      <c r="O152" s="2" t="s">
        <v>23</v>
      </c>
      <c r="P152" s="3">
        <v>28.59</v>
      </c>
      <c r="Q152" t="str">
        <f t="shared" si="7"/>
        <v>2012-05</v>
      </c>
      <c r="R152" s="3">
        <f t="shared" si="8"/>
        <v>78.006077348066299</v>
      </c>
      <c r="S152" s="2" t="str">
        <f t="shared" si="6"/>
        <v>Success</v>
      </c>
    </row>
    <row r="153" spans="1:19" x14ac:dyDescent="0.3">
      <c r="A153" t="s">
        <v>217</v>
      </c>
      <c r="B153" s="1">
        <v>43055</v>
      </c>
      <c r="C153">
        <v>2017</v>
      </c>
      <c r="D153" s="2" t="s">
        <v>103</v>
      </c>
      <c r="E153" s="2" t="s">
        <v>104</v>
      </c>
      <c r="F153" s="2" t="s">
        <v>38</v>
      </c>
      <c r="G153" t="s">
        <v>46</v>
      </c>
      <c r="H153" s="3">
        <v>15.99</v>
      </c>
      <c r="I153" s="3">
        <v>82.24</v>
      </c>
      <c r="J153" s="3">
        <v>5143</v>
      </c>
      <c r="K153" s="1" t="s">
        <v>28</v>
      </c>
      <c r="L153" s="2" t="s">
        <v>41</v>
      </c>
      <c r="M153" s="3">
        <v>175.45</v>
      </c>
      <c r="N153" s="3">
        <v>811.48</v>
      </c>
      <c r="O153" s="2" t="s">
        <v>52</v>
      </c>
      <c r="P153" s="3">
        <v>33.090000000000003</v>
      </c>
      <c r="Q153" t="str">
        <f t="shared" si="7"/>
        <v>2017-11</v>
      </c>
      <c r="R153" s="3">
        <f t="shared" si="8"/>
        <v>321.63852407754848</v>
      </c>
      <c r="S153" s="2" t="str">
        <f t="shared" si="6"/>
        <v>Success</v>
      </c>
    </row>
    <row r="154" spans="1:19" x14ac:dyDescent="0.3">
      <c r="A154" t="s">
        <v>218</v>
      </c>
      <c r="B154" s="1">
        <v>43472</v>
      </c>
      <c r="C154">
        <v>2018</v>
      </c>
      <c r="D154" s="2" t="s">
        <v>59</v>
      </c>
      <c r="E154" s="2" t="s">
        <v>60</v>
      </c>
      <c r="F154" s="2" t="s">
        <v>38</v>
      </c>
      <c r="G154" t="s">
        <v>39</v>
      </c>
      <c r="H154" s="3">
        <v>48.36</v>
      </c>
      <c r="I154" s="3">
        <v>157.69999999999999</v>
      </c>
      <c r="J154" s="3">
        <v>3260.95</v>
      </c>
      <c r="K154" s="1" t="s">
        <v>40</v>
      </c>
      <c r="L154" s="2" t="s">
        <v>47</v>
      </c>
      <c r="M154" s="3">
        <v>164.92</v>
      </c>
      <c r="N154" s="3">
        <v>733.13</v>
      </c>
      <c r="O154" s="2" t="s">
        <v>61</v>
      </c>
      <c r="P154" s="3">
        <v>25.31</v>
      </c>
      <c r="Q154" t="str">
        <f t="shared" si="7"/>
        <v>2019-01</v>
      </c>
      <c r="R154" s="3">
        <f t="shared" si="8"/>
        <v>67.430727874276258</v>
      </c>
      <c r="S154" s="2" t="str">
        <f t="shared" si="6"/>
        <v>Success</v>
      </c>
    </row>
    <row r="155" spans="1:19" x14ac:dyDescent="0.3">
      <c r="A155" t="s">
        <v>219</v>
      </c>
      <c r="B155" s="1">
        <v>41668</v>
      </c>
      <c r="C155">
        <v>2013</v>
      </c>
      <c r="D155" s="2" t="s">
        <v>36</v>
      </c>
      <c r="E155" s="2" t="s">
        <v>37</v>
      </c>
      <c r="F155" s="2" t="s">
        <v>38</v>
      </c>
      <c r="G155" t="s">
        <v>27</v>
      </c>
      <c r="H155" s="3">
        <v>30.55</v>
      </c>
      <c r="I155" s="3">
        <v>203.12</v>
      </c>
      <c r="J155" s="3">
        <v>6648.91</v>
      </c>
      <c r="K155" s="1" t="s">
        <v>34</v>
      </c>
      <c r="L155" s="2" t="s">
        <v>47</v>
      </c>
      <c r="M155" s="3">
        <v>242.79</v>
      </c>
      <c r="N155" s="3">
        <v>904.9</v>
      </c>
      <c r="O155" s="2" t="s">
        <v>52</v>
      </c>
      <c r="P155" s="3">
        <v>24.76</v>
      </c>
      <c r="Q155" t="str">
        <f t="shared" si="7"/>
        <v>2014-01</v>
      </c>
      <c r="R155" s="3">
        <f t="shared" si="8"/>
        <v>217.64026186579378</v>
      </c>
      <c r="S155" s="2" t="str">
        <f t="shared" si="6"/>
        <v>Success</v>
      </c>
    </row>
    <row r="156" spans="1:19" x14ac:dyDescent="0.3">
      <c r="A156" t="s">
        <v>220</v>
      </c>
      <c r="B156" s="1">
        <v>42017</v>
      </c>
      <c r="C156">
        <v>2014</v>
      </c>
      <c r="D156" s="2" t="s">
        <v>44</v>
      </c>
      <c r="E156" s="2" t="s">
        <v>67</v>
      </c>
      <c r="F156" s="2" t="s">
        <v>38</v>
      </c>
      <c r="G156" t="s">
        <v>64</v>
      </c>
      <c r="H156" s="3">
        <v>57.77</v>
      </c>
      <c r="I156" s="3">
        <v>246.05</v>
      </c>
      <c r="J156" s="3">
        <v>4259.1499999999996</v>
      </c>
      <c r="K156" s="1" t="s">
        <v>28</v>
      </c>
      <c r="L156" s="2" t="s">
        <v>22</v>
      </c>
      <c r="M156" s="3">
        <v>254.59</v>
      </c>
      <c r="N156" s="3">
        <v>1154.6099999999999</v>
      </c>
      <c r="O156" s="2" t="s">
        <v>42</v>
      </c>
      <c r="P156" s="3">
        <v>24.36</v>
      </c>
      <c r="Q156" t="str">
        <f t="shared" si="7"/>
        <v>2015-01</v>
      </c>
      <c r="R156" s="3">
        <f t="shared" si="8"/>
        <v>73.725982343777034</v>
      </c>
      <c r="S156" s="2" t="str">
        <f t="shared" si="6"/>
        <v>Success</v>
      </c>
    </row>
    <row r="157" spans="1:19" x14ac:dyDescent="0.3">
      <c r="A157" t="s">
        <v>221</v>
      </c>
      <c r="B157" s="1">
        <v>44286</v>
      </c>
      <c r="C157">
        <v>2020</v>
      </c>
      <c r="D157" s="2" t="s">
        <v>31</v>
      </c>
      <c r="E157" s="2" t="s">
        <v>32</v>
      </c>
      <c r="F157" s="2" t="s">
        <v>38</v>
      </c>
      <c r="G157" t="s">
        <v>39</v>
      </c>
      <c r="H157" s="3">
        <v>48.43</v>
      </c>
      <c r="I157" s="3">
        <v>107.15</v>
      </c>
      <c r="J157" s="3">
        <v>2212.41</v>
      </c>
      <c r="K157" s="1" t="s">
        <v>34</v>
      </c>
      <c r="L157" s="2" t="s">
        <v>41</v>
      </c>
      <c r="M157" s="3">
        <v>283.26</v>
      </c>
      <c r="N157" s="3">
        <v>896.17</v>
      </c>
      <c r="O157" s="2" t="s">
        <v>42</v>
      </c>
      <c r="P157" s="3">
        <v>21.64</v>
      </c>
      <c r="Q157" t="str">
        <f t="shared" si="7"/>
        <v>2021-03</v>
      </c>
      <c r="R157" s="3">
        <f t="shared" si="8"/>
        <v>45.682634730538922</v>
      </c>
      <c r="S157" s="2" t="str">
        <f t="shared" si="6"/>
        <v>Success</v>
      </c>
    </row>
    <row r="158" spans="1:19" x14ac:dyDescent="0.3">
      <c r="A158" t="s">
        <v>222</v>
      </c>
      <c r="B158" s="1">
        <v>43957</v>
      </c>
      <c r="C158">
        <v>2020</v>
      </c>
      <c r="D158" s="2" t="s">
        <v>103</v>
      </c>
      <c r="E158" s="2" t="s">
        <v>104</v>
      </c>
      <c r="F158" s="2" t="s">
        <v>19</v>
      </c>
      <c r="G158" t="s">
        <v>56</v>
      </c>
      <c r="H158" s="3">
        <v>64.16</v>
      </c>
      <c r="I158" s="3">
        <v>84.37</v>
      </c>
      <c r="J158" s="3">
        <v>1314.95</v>
      </c>
      <c r="K158" s="1" t="s">
        <v>28</v>
      </c>
      <c r="L158" s="2" t="s">
        <v>41</v>
      </c>
      <c r="M158" s="3">
        <v>132.57</v>
      </c>
      <c r="N158" s="3">
        <v>672.4</v>
      </c>
      <c r="O158" s="2" t="s">
        <v>42</v>
      </c>
      <c r="P158" s="3">
        <v>20.079999999999998</v>
      </c>
      <c r="Q158" t="str">
        <f t="shared" si="7"/>
        <v>2020-05</v>
      </c>
      <c r="R158" s="3">
        <f t="shared" si="8"/>
        <v>20.494856608478806</v>
      </c>
      <c r="S158" s="2" t="str">
        <f t="shared" si="6"/>
        <v>Success</v>
      </c>
    </row>
    <row r="159" spans="1:19" x14ac:dyDescent="0.3">
      <c r="A159" t="s">
        <v>223</v>
      </c>
      <c r="B159" s="1">
        <v>43099</v>
      </c>
      <c r="C159">
        <v>2017</v>
      </c>
      <c r="D159" s="2" t="s">
        <v>36</v>
      </c>
      <c r="E159" s="2" t="s">
        <v>77</v>
      </c>
      <c r="F159" s="2" t="s">
        <v>38</v>
      </c>
      <c r="G159" t="s">
        <v>39</v>
      </c>
      <c r="H159" s="3">
        <v>20.75</v>
      </c>
      <c r="I159" s="3">
        <v>140.76</v>
      </c>
      <c r="J159" s="3">
        <v>6783.48</v>
      </c>
      <c r="K159" s="1" t="s">
        <v>34</v>
      </c>
      <c r="L159" s="2" t="s">
        <v>47</v>
      </c>
      <c r="M159" s="3">
        <v>121.35</v>
      </c>
      <c r="N159" s="3">
        <v>259.16000000000003</v>
      </c>
      <c r="O159" s="2" t="s">
        <v>23</v>
      </c>
      <c r="P159" s="3">
        <v>29.78</v>
      </c>
      <c r="Q159" t="str">
        <f t="shared" si="7"/>
        <v>2017-12</v>
      </c>
      <c r="R159" s="3">
        <f t="shared" si="8"/>
        <v>326.9146987951807</v>
      </c>
      <c r="S159" s="2" t="str">
        <f t="shared" si="6"/>
        <v>Success</v>
      </c>
    </row>
    <row r="160" spans="1:19" x14ac:dyDescent="0.3">
      <c r="A160" t="s">
        <v>224</v>
      </c>
      <c r="B160" s="1">
        <v>40404</v>
      </c>
      <c r="C160">
        <v>2010</v>
      </c>
      <c r="D160" s="2" t="s">
        <v>17</v>
      </c>
      <c r="E160" s="2" t="s">
        <v>54</v>
      </c>
      <c r="F160" s="2" t="s">
        <v>33</v>
      </c>
      <c r="G160" t="s">
        <v>46</v>
      </c>
      <c r="H160" s="3">
        <v>88.34</v>
      </c>
      <c r="I160" s="3">
        <v>181.51</v>
      </c>
      <c r="J160" s="3">
        <v>2054.73</v>
      </c>
      <c r="K160" s="1" t="s">
        <v>21</v>
      </c>
      <c r="L160" s="2" t="s">
        <v>22</v>
      </c>
      <c r="M160" s="3">
        <v>299.29000000000002</v>
      </c>
      <c r="N160" s="3">
        <v>596.99</v>
      </c>
      <c r="O160" s="2" t="s">
        <v>52</v>
      </c>
      <c r="P160" s="3">
        <v>22.79</v>
      </c>
      <c r="Q160" t="str">
        <f t="shared" si="7"/>
        <v>2010-08</v>
      </c>
      <c r="R160" s="3">
        <f t="shared" si="8"/>
        <v>23.259338917817523</v>
      </c>
      <c r="S160" s="2" t="str">
        <f t="shared" si="6"/>
        <v>Success</v>
      </c>
    </row>
    <row r="161" spans="1:19" x14ac:dyDescent="0.3">
      <c r="A161" t="s">
        <v>225</v>
      </c>
      <c r="B161" s="1">
        <v>43564</v>
      </c>
      <c r="C161">
        <v>2019</v>
      </c>
      <c r="D161" s="2" t="s">
        <v>25</v>
      </c>
      <c r="E161" s="2" t="s">
        <v>87</v>
      </c>
      <c r="F161" s="2" t="s">
        <v>19</v>
      </c>
      <c r="G161" t="s">
        <v>64</v>
      </c>
      <c r="H161" s="3">
        <v>92.92</v>
      </c>
      <c r="I161" s="3">
        <v>279.70999999999998</v>
      </c>
      <c r="J161" s="3">
        <v>3010.25</v>
      </c>
      <c r="K161" s="1" t="s">
        <v>28</v>
      </c>
      <c r="L161" s="2" t="s">
        <v>47</v>
      </c>
      <c r="M161" s="3">
        <v>297.27</v>
      </c>
      <c r="N161" s="3">
        <v>743.3</v>
      </c>
      <c r="O161" s="2" t="s">
        <v>52</v>
      </c>
      <c r="P161" s="3">
        <v>33.340000000000003</v>
      </c>
      <c r="Q161" t="str">
        <f t="shared" si="7"/>
        <v>2019-04</v>
      </c>
      <c r="R161" s="3">
        <f t="shared" si="8"/>
        <v>32.396147223417991</v>
      </c>
      <c r="S161" s="2" t="str">
        <f t="shared" si="6"/>
        <v>Success</v>
      </c>
    </row>
    <row r="162" spans="1:19" x14ac:dyDescent="0.3">
      <c r="A162" t="s">
        <v>226</v>
      </c>
      <c r="B162" s="1">
        <v>41571</v>
      </c>
      <c r="C162">
        <v>2013</v>
      </c>
      <c r="D162" s="2" t="s">
        <v>36</v>
      </c>
      <c r="E162" s="2" t="s">
        <v>51</v>
      </c>
      <c r="F162" s="2" t="s">
        <v>33</v>
      </c>
      <c r="G162" t="s">
        <v>20</v>
      </c>
      <c r="H162" s="3">
        <v>17.09</v>
      </c>
      <c r="I162" s="3">
        <v>64.150000000000006</v>
      </c>
      <c r="J162" s="3">
        <v>3753.49</v>
      </c>
      <c r="K162" s="1" t="s">
        <v>34</v>
      </c>
      <c r="L162" s="2" t="s">
        <v>41</v>
      </c>
      <c r="M162" s="3">
        <v>229.65</v>
      </c>
      <c r="N162" s="3">
        <v>214.08</v>
      </c>
      <c r="O162" s="2" t="s">
        <v>70</v>
      </c>
      <c r="P162" s="3">
        <v>31.86</v>
      </c>
      <c r="Q162" t="str">
        <f t="shared" si="7"/>
        <v>2013-10</v>
      </c>
      <c r="R162" s="3">
        <f t="shared" si="8"/>
        <v>219.63077823288472</v>
      </c>
      <c r="S162" s="2" t="str">
        <f t="shared" si="6"/>
        <v>Success</v>
      </c>
    </row>
    <row r="163" spans="1:19" x14ac:dyDescent="0.3">
      <c r="A163" t="s">
        <v>227</v>
      </c>
      <c r="B163" s="1">
        <v>44137</v>
      </c>
      <c r="C163">
        <v>2020</v>
      </c>
      <c r="D163" s="2" t="s">
        <v>103</v>
      </c>
      <c r="E163" s="2" t="s">
        <v>228</v>
      </c>
      <c r="F163" s="2" t="s">
        <v>38</v>
      </c>
      <c r="G163" t="s">
        <v>46</v>
      </c>
      <c r="H163" s="3">
        <v>52.01</v>
      </c>
      <c r="I163" s="3">
        <v>79.08</v>
      </c>
      <c r="J163" s="3">
        <v>1520.43</v>
      </c>
      <c r="K163" s="1" t="s">
        <v>21</v>
      </c>
      <c r="L163" s="2" t="s">
        <v>49</v>
      </c>
      <c r="M163" s="3">
        <v>96.2</v>
      </c>
      <c r="N163" s="3">
        <v>340.61</v>
      </c>
      <c r="O163" s="2" t="s">
        <v>70</v>
      </c>
      <c r="P163" s="3">
        <v>34.04</v>
      </c>
      <c r="Q163" t="str">
        <f t="shared" si="7"/>
        <v>2020-11</v>
      </c>
      <c r="R163" s="3">
        <f t="shared" si="8"/>
        <v>29.233416650644109</v>
      </c>
      <c r="S163" s="2" t="str">
        <f t="shared" si="6"/>
        <v>Success</v>
      </c>
    </row>
    <row r="164" spans="1:19" x14ac:dyDescent="0.3">
      <c r="A164" t="s">
        <v>229</v>
      </c>
      <c r="B164" s="1">
        <v>43070</v>
      </c>
      <c r="C164">
        <v>2017</v>
      </c>
      <c r="D164" s="2" t="s">
        <v>36</v>
      </c>
      <c r="E164" s="2" t="s">
        <v>37</v>
      </c>
      <c r="F164" s="2" t="s">
        <v>38</v>
      </c>
      <c r="G164" t="s">
        <v>20</v>
      </c>
      <c r="H164" s="3">
        <v>30.89</v>
      </c>
      <c r="I164" s="3">
        <v>164.87</v>
      </c>
      <c r="J164" s="3">
        <v>5337.3</v>
      </c>
      <c r="K164" s="1" t="s">
        <v>21</v>
      </c>
      <c r="L164" s="2" t="s">
        <v>29</v>
      </c>
      <c r="M164" s="3">
        <v>115.39</v>
      </c>
      <c r="N164" s="3">
        <v>559.54999999999995</v>
      </c>
      <c r="O164" s="2" t="s">
        <v>42</v>
      </c>
      <c r="P164" s="3">
        <v>20.93</v>
      </c>
      <c r="Q164" t="str">
        <f t="shared" si="7"/>
        <v>2017-12</v>
      </c>
      <c r="R164" s="3">
        <f t="shared" si="8"/>
        <v>172.78407251537715</v>
      </c>
      <c r="S164" s="2" t="str">
        <f t="shared" si="6"/>
        <v>Success</v>
      </c>
    </row>
    <row r="165" spans="1:19" x14ac:dyDescent="0.3">
      <c r="A165" t="s">
        <v>230</v>
      </c>
      <c r="B165" s="1">
        <v>42475</v>
      </c>
      <c r="C165">
        <v>2016</v>
      </c>
      <c r="D165" s="2" t="s">
        <v>31</v>
      </c>
      <c r="E165" s="2" t="s">
        <v>82</v>
      </c>
      <c r="F165" s="2" t="s">
        <v>19</v>
      </c>
      <c r="G165" t="s">
        <v>27</v>
      </c>
      <c r="H165" s="3">
        <v>92.39</v>
      </c>
      <c r="I165" s="3">
        <v>584.53</v>
      </c>
      <c r="J165" s="3">
        <v>6326.81</v>
      </c>
      <c r="K165" s="1" t="s">
        <v>34</v>
      </c>
      <c r="L165" s="2" t="s">
        <v>41</v>
      </c>
      <c r="M165" s="3">
        <v>222.57</v>
      </c>
      <c r="N165" s="3">
        <v>838.71</v>
      </c>
      <c r="O165" s="2" t="s">
        <v>70</v>
      </c>
      <c r="P165" s="3">
        <v>25.51</v>
      </c>
      <c r="Q165" t="str">
        <f t="shared" si="7"/>
        <v>2016-04</v>
      </c>
      <c r="R165" s="3">
        <f t="shared" si="8"/>
        <v>68.479380885377211</v>
      </c>
      <c r="S165" s="2" t="str">
        <f t="shared" si="6"/>
        <v>Success</v>
      </c>
    </row>
    <row r="166" spans="1:19" x14ac:dyDescent="0.3">
      <c r="A166" t="s">
        <v>231</v>
      </c>
      <c r="B166" s="1">
        <v>41234</v>
      </c>
      <c r="C166">
        <v>2012</v>
      </c>
      <c r="D166" s="2" t="s">
        <v>103</v>
      </c>
      <c r="E166" s="2" t="s">
        <v>107</v>
      </c>
      <c r="F166" s="2" t="s">
        <v>38</v>
      </c>
      <c r="G166" t="s">
        <v>39</v>
      </c>
      <c r="H166" s="3">
        <v>98.89</v>
      </c>
      <c r="I166" s="3">
        <v>320.58</v>
      </c>
      <c r="J166" s="3">
        <v>3241.75</v>
      </c>
      <c r="K166" s="1" t="s">
        <v>28</v>
      </c>
      <c r="L166" s="2" t="s">
        <v>47</v>
      </c>
      <c r="M166" s="3">
        <v>239.34</v>
      </c>
      <c r="N166" s="3">
        <v>1001.99</v>
      </c>
      <c r="O166" s="2" t="s">
        <v>42</v>
      </c>
      <c r="P166" s="3">
        <v>31.43</v>
      </c>
      <c r="Q166" t="str">
        <f t="shared" si="7"/>
        <v>2012-11</v>
      </c>
      <c r="R166" s="3">
        <f t="shared" si="8"/>
        <v>32.781373242997269</v>
      </c>
      <c r="S166" s="2" t="str">
        <f t="shared" si="6"/>
        <v>Success</v>
      </c>
    </row>
    <row r="167" spans="1:19" x14ac:dyDescent="0.3">
      <c r="A167" t="s">
        <v>232</v>
      </c>
      <c r="B167" s="1">
        <v>44614</v>
      </c>
      <c r="C167">
        <v>2021</v>
      </c>
      <c r="D167" s="2" t="s">
        <v>36</v>
      </c>
      <c r="E167" s="2" t="s">
        <v>77</v>
      </c>
      <c r="F167" s="2" t="s">
        <v>38</v>
      </c>
      <c r="G167" t="s">
        <v>64</v>
      </c>
      <c r="H167" s="3">
        <v>91.81</v>
      </c>
      <c r="I167" s="3">
        <v>153.62</v>
      </c>
      <c r="J167" s="3">
        <v>1673.25</v>
      </c>
      <c r="K167" s="1" t="s">
        <v>40</v>
      </c>
      <c r="L167" s="2" t="s">
        <v>22</v>
      </c>
      <c r="M167" s="3">
        <v>193.18</v>
      </c>
      <c r="N167" s="3">
        <v>349.85</v>
      </c>
      <c r="O167" s="2" t="s">
        <v>70</v>
      </c>
      <c r="P167" s="3">
        <v>32.82</v>
      </c>
      <c r="Q167" t="str">
        <f t="shared" si="7"/>
        <v>2022-02</v>
      </c>
      <c r="R167" s="3">
        <f t="shared" si="8"/>
        <v>18.225138873761029</v>
      </c>
      <c r="S167" s="2" t="str">
        <f t="shared" si="6"/>
        <v>Success</v>
      </c>
    </row>
    <row r="168" spans="1:19" x14ac:dyDescent="0.3">
      <c r="A168" t="s">
        <v>233</v>
      </c>
      <c r="B168" s="1">
        <v>44322</v>
      </c>
      <c r="C168">
        <v>2021</v>
      </c>
      <c r="D168" s="2" t="s">
        <v>17</v>
      </c>
      <c r="E168" s="2" t="s">
        <v>18</v>
      </c>
      <c r="F168" s="2" t="s">
        <v>19</v>
      </c>
      <c r="G168" t="s">
        <v>46</v>
      </c>
      <c r="H168" s="3">
        <v>10</v>
      </c>
      <c r="I168" s="3">
        <v>40.619999999999997</v>
      </c>
      <c r="J168" s="3">
        <v>4062.25</v>
      </c>
      <c r="K168" s="1" t="s">
        <v>21</v>
      </c>
      <c r="L168" s="2" t="s">
        <v>29</v>
      </c>
      <c r="M168" s="3">
        <v>163.36000000000001</v>
      </c>
      <c r="N168" s="3">
        <v>713.25</v>
      </c>
      <c r="O168" s="2" t="s">
        <v>52</v>
      </c>
      <c r="P168" s="3">
        <v>28.46</v>
      </c>
      <c r="Q168" t="str">
        <f t="shared" si="7"/>
        <v>2021-05</v>
      </c>
      <c r="R168" s="3">
        <f t="shared" si="8"/>
        <v>406.22500000000002</v>
      </c>
      <c r="S168" s="2" t="str">
        <f t="shared" si="6"/>
        <v>Success</v>
      </c>
    </row>
    <row r="169" spans="1:19" x14ac:dyDescent="0.3">
      <c r="A169" t="s">
        <v>234</v>
      </c>
      <c r="B169" s="1">
        <v>44486</v>
      </c>
      <c r="C169">
        <v>2021</v>
      </c>
      <c r="D169" s="2" t="s">
        <v>17</v>
      </c>
      <c r="E169" s="2" t="s">
        <v>72</v>
      </c>
      <c r="F169" s="2" t="s">
        <v>33</v>
      </c>
      <c r="G169" t="s">
        <v>46</v>
      </c>
      <c r="H169" s="3">
        <v>26.19</v>
      </c>
      <c r="I169" s="3">
        <v>26.66</v>
      </c>
      <c r="J169" s="3">
        <v>1018.09</v>
      </c>
      <c r="K169" s="1" t="s">
        <v>40</v>
      </c>
      <c r="L169" s="2" t="s">
        <v>22</v>
      </c>
      <c r="M169" s="3">
        <v>194.58</v>
      </c>
      <c r="N169" s="3">
        <v>245.29</v>
      </c>
      <c r="O169" s="2" t="s">
        <v>70</v>
      </c>
      <c r="P169" s="3">
        <v>30.51</v>
      </c>
      <c r="Q169" t="str">
        <f t="shared" si="7"/>
        <v>2021-10</v>
      </c>
      <c r="R169" s="3">
        <f t="shared" si="8"/>
        <v>38.873234058801067</v>
      </c>
      <c r="S169" s="2" t="str">
        <f t="shared" si="6"/>
        <v>Success</v>
      </c>
    </row>
    <row r="170" spans="1:19" x14ac:dyDescent="0.3">
      <c r="A170" t="s">
        <v>235</v>
      </c>
      <c r="B170" s="1">
        <v>40579</v>
      </c>
      <c r="C170">
        <v>2010</v>
      </c>
      <c r="D170" s="2" t="s">
        <v>25</v>
      </c>
      <c r="E170" s="2" t="s">
        <v>87</v>
      </c>
      <c r="F170" s="2" t="s">
        <v>38</v>
      </c>
      <c r="G170" t="s">
        <v>46</v>
      </c>
      <c r="H170" s="3">
        <v>18.82</v>
      </c>
      <c r="I170" s="3">
        <v>34.11</v>
      </c>
      <c r="J170" s="3">
        <v>1812.57</v>
      </c>
      <c r="K170" s="1" t="s">
        <v>28</v>
      </c>
      <c r="L170" s="2" t="s">
        <v>29</v>
      </c>
      <c r="M170" s="3">
        <v>143.62</v>
      </c>
      <c r="N170" s="3">
        <v>1091.33</v>
      </c>
      <c r="O170" s="2" t="s">
        <v>52</v>
      </c>
      <c r="P170" s="3">
        <v>33.04</v>
      </c>
      <c r="Q170" t="str">
        <f t="shared" si="7"/>
        <v>2011-02</v>
      </c>
      <c r="R170" s="3">
        <f t="shared" si="8"/>
        <v>96.310839532412317</v>
      </c>
      <c r="S170" s="2" t="str">
        <f t="shared" si="6"/>
        <v>Success</v>
      </c>
    </row>
    <row r="171" spans="1:19" x14ac:dyDescent="0.3">
      <c r="A171" t="s">
        <v>236</v>
      </c>
      <c r="B171" s="1">
        <v>43936</v>
      </c>
      <c r="C171">
        <v>2020</v>
      </c>
      <c r="D171" s="2" t="s">
        <v>25</v>
      </c>
      <c r="E171" s="2" t="s">
        <v>69</v>
      </c>
      <c r="F171" s="2" t="s">
        <v>19</v>
      </c>
      <c r="G171" t="s">
        <v>56</v>
      </c>
      <c r="H171" s="3">
        <v>65.7</v>
      </c>
      <c r="I171" s="3">
        <v>202.79</v>
      </c>
      <c r="J171" s="3">
        <v>3086.62</v>
      </c>
      <c r="K171" s="1" t="s">
        <v>40</v>
      </c>
      <c r="L171" s="2" t="s">
        <v>22</v>
      </c>
      <c r="M171" s="3">
        <v>298.20999999999998</v>
      </c>
      <c r="N171" s="3">
        <v>593.05999999999995</v>
      </c>
      <c r="O171" s="2" t="s">
        <v>42</v>
      </c>
      <c r="P171" s="3">
        <v>30.92</v>
      </c>
      <c r="Q171" t="str">
        <f t="shared" si="7"/>
        <v>2020-04</v>
      </c>
      <c r="R171" s="3">
        <f t="shared" si="8"/>
        <v>46.980517503805174</v>
      </c>
      <c r="S171" s="2" t="str">
        <f t="shared" si="6"/>
        <v>Success</v>
      </c>
    </row>
    <row r="172" spans="1:19" x14ac:dyDescent="0.3">
      <c r="A172" t="s">
        <v>237</v>
      </c>
      <c r="B172" s="1">
        <v>41992</v>
      </c>
      <c r="C172">
        <v>2014</v>
      </c>
      <c r="D172" s="2" t="s">
        <v>44</v>
      </c>
      <c r="E172" s="2" t="s">
        <v>45</v>
      </c>
      <c r="F172" s="2" t="s">
        <v>38</v>
      </c>
      <c r="G172" t="s">
        <v>39</v>
      </c>
      <c r="H172" s="3">
        <v>72.19</v>
      </c>
      <c r="I172" s="3">
        <v>255.9</v>
      </c>
      <c r="J172" s="3">
        <v>3544.77</v>
      </c>
      <c r="K172" s="1" t="s">
        <v>28</v>
      </c>
      <c r="L172" s="2" t="s">
        <v>22</v>
      </c>
      <c r="M172" s="3">
        <v>255.84</v>
      </c>
      <c r="N172" s="3">
        <v>447.51</v>
      </c>
      <c r="O172" s="2" t="s">
        <v>70</v>
      </c>
      <c r="P172" s="3">
        <v>22.33</v>
      </c>
      <c r="Q172" t="str">
        <f t="shared" si="7"/>
        <v>2014-12</v>
      </c>
      <c r="R172" s="3">
        <f t="shared" si="8"/>
        <v>49.103338412522511</v>
      </c>
      <c r="S172" s="2" t="str">
        <f t="shared" si="6"/>
        <v>Success</v>
      </c>
    </row>
    <row r="173" spans="1:19" x14ac:dyDescent="0.3">
      <c r="A173" t="s">
        <v>238</v>
      </c>
      <c r="B173" s="1">
        <v>42463</v>
      </c>
      <c r="C173">
        <v>2016</v>
      </c>
      <c r="D173" s="2" t="s">
        <v>25</v>
      </c>
      <c r="E173" s="2" t="s">
        <v>69</v>
      </c>
      <c r="F173" s="2" t="s">
        <v>19</v>
      </c>
      <c r="G173" t="s">
        <v>64</v>
      </c>
      <c r="H173" s="3">
        <v>24.83</v>
      </c>
      <c r="I173" s="3">
        <v>34.86</v>
      </c>
      <c r="J173" s="3">
        <v>1403.75</v>
      </c>
      <c r="K173" s="1" t="s">
        <v>21</v>
      </c>
      <c r="L173" s="2" t="s">
        <v>29</v>
      </c>
      <c r="M173" s="3">
        <v>161.61000000000001</v>
      </c>
      <c r="N173" s="3">
        <v>872.02</v>
      </c>
      <c r="O173" s="2" t="s">
        <v>23</v>
      </c>
      <c r="P173" s="3">
        <v>23.67</v>
      </c>
      <c r="Q173" t="str">
        <f t="shared" si="7"/>
        <v>2016-04</v>
      </c>
      <c r="R173" s="3">
        <f t="shared" si="8"/>
        <v>56.534434152235207</v>
      </c>
      <c r="S173" s="2" t="str">
        <f t="shared" si="6"/>
        <v>Success</v>
      </c>
    </row>
    <row r="174" spans="1:19" x14ac:dyDescent="0.3">
      <c r="A174" t="s">
        <v>239</v>
      </c>
      <c r="B174" s="1">
        <v>43334</v>
      </c>
      <c r="C174">
        <v>2018</v>
      </c>
      <c r="D174" s="2" t="s">
        <v>36</v>
      </c>
      <c r="E174" s="2" t="s">
        <v>37</v>
      </c>
      <c r="F174" s="2" t="s">
        <v>33</v>
      </c>
      <c r="G174" t="s">
        <v>64</v>
      </c>
      <c r="H174" s="3">
        <v>14.87</v>
      </c>
      <c r="I174" s="3">
        <v>103.51</v>
      </c>
      <c r="J174" s="3">
        <v>6960.9</v>
      </c>
      <c r="K174" s="1" t="s">
        <v>40</v>
      </c>
      <c r="L174" s="2" t="s">
        <v>41</v>
      </c>
      <c r="M174" s="3">
        <v>253.95</v>
      </c>
      <c r="N174" s="3">
        <v>931.52</v>
      </c>
      <c r="O174" s="2" t="s">
        <v>70</v>
      </c>
      <c r="P174" s="3">
        <v>28.66</v>
      </c>
      <c r="Q174" t="str">
        <f t="shared" si="7"/>
        <v>2018-08</v>
      </c>
      <c r="R174" s="3">
        <f t="shared" si="8"/>
        <v>468.1170141223941</v>
      </c>
      <c r="S174" s="2" t="str">
        <f t="shared" si="6"/>
        <v>Success</v>
      </c>
    </row>
    <row r="175" spans="1:19" x14ac:dyDescent="0.3">
      <c r="A175" t="s">
        <v>240</v>
      </c>
      <c r="B175" s="1">
        <v>43944</v>
      </c>
      <c r="C175">
        <v>2020</v>
      </c>
      <c r="D175" s="2" t="s">
        <v>31</v>
      </c>
      <c r="E175" s="2" t="s">
        <v>82</v>
      </c>
      <c r="F175" s="2" t="s">
        <v>19</v>
      </c>
      <c r="G175" t="s">
        <v>56</v>
      </c>
      <c r="H175" s="3">
        <v>41.94</v>
      </c>
      <c r="I175" s="3">
        <v>111.18</v>
      </c>
      <c r="J175" s="3">
        <v>2650.92</v>
      </c>
      <c r="K175" s="1" t="s">
        <v>40</v>
      </c>
      <c r="L175" s="2" t="s">
        <v>29</v>
      </c>
      <c r="M175" s="3">
        <v>206.5</v>
      </c>
      <c r="N175" s="3">
        <v>627.20000000000005</v>
      </c>
      <c r="O175" s="2" t="s">
        <v>52</v>
      </c>
      <c r="P175" s="3">
        <v>20.7</v>
      </c>
      <c r="Q175" t="str">
        <f t="shared" si="7"/>
        <v>2020-04</v>
      </c>
      <c r="R175" s="3">
        <f t="shared" si="8"/>
        <v>63.207439198855511</v>
      </c>
      <c r="S175" s="2" t="str">
        <f t="shared" si="6"/>
        <v>Success</v>
      </c>
    </row>
    <row r="176" spans="1:19" x14ac:dyDescent="0.3">
      <c r="A176" t="s">
        <v>241</v>
      </c>
      <c r="B176" s="1">
        <v>42140</v>
      </c>
      <c r="C176">
        <v>2015</v>
      </c>
      <c r="D176" s="2" t="s">
        <v>44</v>
      </c>
      <c r="E176" s="2" t="s">
        <v>67</v>
      </c>
      <c r="F176" s="2" t="s">
        <v>19</v>
      </c>
      <c r="G176" t="s">
        <v>46</v>
      </c>
      <c r="H176" s="3">
        <v>41.42</v>
      </c>
      <c r="I176" s="3">
        <v>115.95</v>
      </c>
      <c r="J176" s="3">
        <v>2799.33</v>
      </c>
      <c r="K176" s="1" t="s">
        <v>40</v>
      </c>
      <c r="L176" s="2" t="s">
        <v>41</v>
      </c>
      <c r="M176" s="3">
        <v>238.6</v>
      </c>
      <c r="N176" s="3">
        <v>673.52</v>
      </c>
      <c r="O176" s="2" t="s">
        <v>42</v>
      </c>
      <c r="P176" s="3">
        <v>24.51</v>
      </c>
      <c r="Q176" t="str">
        <f t="shared" si="7"/>
        <v>2015-05</v>
      </c>
      <c r="R176" s="3">
        <f t="shared" si="8"/>
        <v>67.584017382906808</v>
      </c>
      <c r="S176" s="2" t="str">
        <f t="shared" si="6"/>
        <v>Success</v>
      </c>
    </row>
    <row r="177" spans="1:19" x14ac:dyDescent="0.3">
      <c r="A177" t="s">
        <v>242</v>
      </c>
      <c r="B177" s="1">
        <v>40328</v>
      </c>
      <c r="C177">
        <v>2010</v>
      </c>
      <c r="D177" s="2" t="s">
        <v>44</v>
      </c>
      <c r="E177" s="2" t="s">
        <v>99</v>
      </c>
      <c r="F177" s="2" t="s">
        <v>19</v>
      </c>
      <c r="G177" t="s">
        <v>46</v>
      </c>
      <c r="H177" s="3">
        <v>96.81</v>
      </c>
      <c r="I177" s="3">
        <v>420.52</v>
      </c>
      <c r="J177" s="3">
        <v>4343.72</v>
      </c>
      <c r="K177" s="1" t="s">
        <v>40</v>
      </c>
      <c r="L177" s="2" t="s">
        <v>29</v>
      </c>
      <c r="M177" s="3">
        <v>147.1</v>
      </c>
      <c r="N177" s="3">
        <v>455</v>
      </c>
      <c r="O177" s="2" t="s">
        <v>70</v>
      </c>
      <c r="P177" s="3">
        <v>29.7</v>
      </c>
      <c r="Q177" t="str">
        <f t="shared" si="7"/>
        <v>2010-05</v>
      </c>
      <c r="R177" s="3">
        <f t="shared" si="8"/>
        <v>44.868505319698379</v>
      </c>
      <c r="S177" s="2" t="str">
        <f t="shared" si="6"/>
        <v>Success</v>
      </c>
    </row>
    <row r="178" spans="1:19" x14ac:dyDescent="0.3">
      <c r="A178" t="s">
        <v>243</v>
      </c>
      <c r="B178" s="1">
        <v>40682</v>
      </c>
      <c r="C178">
        <v>2011</v>
      </c>
      <c r="D178" s="2" t="s">
        <v>44</v>
      </c>
      <c r="E178" s="2" t="s">
        <v>99</v>
      </c>
      <c r="F178" s="2" t="s">
        <v>19</v>
      </c>
      <c r="G178" t="s">
        <v>39</v>
      </c>
      <c r="H178" s="3">
        <v>83.11</v>
      </c>
      <c r="I178" s="3">
        <v>108.81</v>
      </c>
      <c r="J178" s="3">
        <v>1309.22</v>
      </c>
      <c r="K178" s="1" t="s">
        <v>28</v>
      </c>
      <c r="L178" s="2" t="s">
        <v>47</v>
      </c>
      <c r="M178" s="3">
        <v>218.42</v>
      </c>
      <c r="N178" s="3">
        <v>802.92</v>
      </c>
      <c r="O178" s="2" t="s">
        <v>23</v>
      </c>
      <c r="P178" s="3">
        <v>22.82</v>
      </c>
      <c r="Q178" t="str">
        <f t="shared" si="7"/>
        <v>2011-05</v>
      </c>
      <c r="R178" s="3">
        <f t="shared" si="8"/>
        <v>15.752857658524848</v>
      </c>
      <c r="S178" s="2" t="str">
        <f t="shared" si="6"/>
        <v>Success</v>
      </c>
    </row>
    <row r="179" spans="1:19" x14ac:dyDescent="0.3">
      <c r="A179" t="s">
        <v>244</v>
      </c>
      <c r="B179" s="1">
        <v>43282</v>
      </c>
      <c r="C179">
        <v>2018</v>
      </c>
      <c r="D179" s="2" t="s">
        <v>17</v>
      </c>
      <c r="E179" s="2" t="s">
        <v>54</v>
      </c>
      <c r="F179" s="2" t="s">
        <v>33</v>
      </c>
      <c r="G179" t="s">
        <v>46</v>
      </c>
      <c r="H179" s="3">
        <v>21.68</v>
      </c>
      <c r="I179" s="3">
        <v>139.66999999999999</v>
      </c>
      <c r="J179" s="3">
        <v>6442.2</v>
      </c>
      <c r="K179" s="1" t="s">
        <v>34</v>
      </c>
      <c r="L179" s="2" t="s">
        <v>29</v>
      </c>
      <c r="M179" s="3">
        <v>289.25</v>
      </c>
      <c r="N179" s="3">
        <v>215.33</v>
      </c>
      <c r="O179" s="2" t="s">
        <v>42</v>
      </c>
      <c r="P179" s="3">
        <v>34.43</v>
      </c>
      <c r="Q179" t="str">
        <f t="shared" si="7"/>
        <v>2018-07</v>
      </c>
      <c r="R179" s="3">
        <f t="shared" si="8"/>
        <v>297.14944649446494</v>
      </c>
      <c r="S179" s="2" t="str">
        <f t="shared" si="6"/>
        <v>Success</v>
      </c>
    </row>
    <row r="180" spans="1:19" x14ac:dyDescent="0.3">
      <c r="A180" t="s">
        <v>245</v>
      </c>
      <c r="B180" s="1">
        <v>43575</v>
      </c>
      <c r="C180">
        <v>2019</v>
      </c>
      <c r="D180" s="2" t="s">
        <v>103</v>
      </c>
      <c r="E180" s="2" t="s">
        <v>228</v>
      </c>
      <c r="F180" s="2" t="s">
        <v>19</v>
      </c>
      <c r="G180" t="s">
        <v>56</v>
      </c>
      <c r="H180" s="3">
        <v>40.270000000000003</v>
      </c>
      <c r="I180" s="3">
        <v>98.1</v>
      </c>
      <c r="J180" s="3">
        <v>2435.9899999999998</v>
      </c>
      <c r="K180" s="1" t="s">
        <v>34</v>
      </c>
      <c r="L180" s="2" t="s">
        <v>49</v>
      </c>
      <c r="M180" s="3">
        <v>243.88</v>
      </c>
      <c r="N180" s="3">
        <v>580.66</v>
      </c>
      <c r="O180" s="2" t="s">
        <v>61</v>
      </c>
      <c r="P180" s="3">
        <v>29.73</v>
      </c>
      <c r="Q180" t="str">
        <f t="shared" si="7"/>
        <v>2019-04</v>
      </c>
      <c r="R180" s="3">
        <f t="shared" si="8"/>
        <v>60.491432828408236</v>
      </c>
      <c r="S180" s="2" t="str">
        <f t="shared" si="6"/>
        <v>Success</v>
      </c>
    </row>
    <row r="181" spans="1:19" x14ac:dyDescent="0.3">
      <c r="A181" t="s">
        <v>246</v>
      </c>
      <c r="B181" s="1">
        <v>43096</v>
      </c>
      <c r="C181">
        <v>2017</v>
      </c>
      <c r="D181" s="2" t="s">
        <v>31</v>
      </c>
      <c r="E181" s="2" t="s">
        <v>117</v>
      </c>
      <c r="F181" s="2" t="s">
        <v>38</v>
      </c>
      <c r="G181" t="s">
        <v>64</v>
      </c>
      <c r="H181" s="3">
        <v>80.48</v>
      </c>
      <c r="I181" s="3">
        <v>429.32</v>
      </c>
      <c r="J181" s="3">
        <v>5334.48</v>
      </c>
      <c r="K181" s="1" t="s">
        <v>34</v>
      </c>
      <c r="L181" s="2" t="s">
        <v>41</v>
      </c>
      <c r="M181" s="3">
        <v>278.58</v>
      </c>
      <c r="N181" s="3">
        <v>570.70000000000005</v>
      </c>
      <c r="O181" s="2" t="s">
        <v>52</v>
      </c>
      <c r="P181" s="3">
        <v>20.69</v>
      </c>
      <c r="Q181" t="str">
        <f t="shared" si="7"/>
        <v>2017-12</v>
      </c>
      <c r="R181" s="3">
        <f t="shared" si="8"/>
        <v>66.283300198807154</v>
      </c>
      <c r="S181" s="2" t="str">
        <f t="shared" si="6"/>
        <v>Success</v>
      </c>
    </row>
    <row r="182" spans="1:19" x14ac:dyDescent="0.3">
      <c r="A182" t="s">
        <v>247</v>
      </c>
      <c r="B182" s="1">
        <v>43232</v>
      </c>
      <c r="C182">
        <v>2018</v>
      </c>
      <c r="D182" s="2" t="s">
        <v>25</v>
      </c>
      <c r="E182" s="2" t="s">
        <v>87</v>
      </c>
      <c r="F182" s="2" t="s">
        <v>19</v>
      </c>
      <c r="G182" t="s">
        <v>27</v>
      </c>
      <c r="H182" s="3">
        <v>72.28</v>
      </c>
      <c r="I182" s="3">
        <v>200.3</v>
      </c>
      <c r="J182" s="3">
        <v>2771.15</v>
      </c>
      <c r="K182" s="1" t="s">
        <v>40</v>
      </c>
      <c r="L182" s="2" t="s">
        <v>49</v>
      </c>
      <c r="M182" s="3">
        <v>132.47</v>
      </c>
      <c r="N182" s="3">
        <v>579.84</v>
      </c>
      <c r="O182" s="2" t="s">
        <v>42</v>
      </c>
      <c r="P182" s="3">
        <v>27.49</v>
      </c>
      <c r="Q182" t="str">
        <f t="shared" si="7"/>
        <v>2018-05</v>
      </c>
      <c r="R182" s="3">
        <f t="shared" si="8"/>
        <v>38.339097952407307</v>
      </c>
      <c r="S182" s="2" t="str">
        <f t="shared" si="6"/>
        <v>Success</v>
      </c>
    </row>
    <row r="183" spans="1:19" x14ac:dyDescent="0.3">
      <c r="A183" t="s">
        <v>248</v>
      </c>
      <c r="B183" s="1">
        <v>44343</v>
      </c>
      <c r="C183">
        <v>2021</v>
      </c>
      <c r="D183" s="2" t="s">
        <v>31</v>
      </c>
      <c r="E183" s="2" t="s">
        <v>32</v>
      </c>
      <c r="F183" s="2" t="s">
        <v>19</v>
      </c>
      <c r="G183" t="s">
        <v>39</v>
      </c>
      <c r="H183" s="3">
        <v>49.57</v>
      </c>
      <c r="I183" s="3">
        <v>99.61</v>
      </c>
      <c r="J183" s="3">
        <v>2009.4</v>
      </c>
      <c r="K183" s="1" t="s">
        <v>34</v>
      </c>
      <c r="L183" s="2" t="s">
        <v>47</v>
      </c>
      <c r="M183" s="3">
        <v>92.32</v>
      </c>
      <c r="N183" s="3">
        <v>920.31</v>
      </c>
      <c r="O183" s="2" t="s">
        <v>52</v>
      </c>
      <c r="P183" s="3">
        <v>22.76</v>
      </c>
      <c r="Q183" t="str">
        <f t="shared" si="7"/>
        <v>2021-05</v>
      </c>
      <c r="R183" s="3">
        <f t="shared" si="8"/>
        <v>40.536614888037121</v>
      </c>
      <c r="S183" s="2" t="str">
        <f t="shared" si="6"/>
        <v>Success</v>
      </c>
    </row>
    <row r="184" spans="1:19" x14ac:dyDescent="0.3">
      <c r="A184" t="s">
        <v>249</v>
      </c>
      <c r="B184" s="1">
        <v>43290</v>
      </c>
      <c r="C184">
        <v>2018</v>
      </c>
      <c r="D184" s="2" t="s">
        <v>17</v>
      </c>
      <c r="E184" s="2" t="s">
        <v>18</v>
      </c>
      <c r="F184" s="2" t="s">
        <v>33</v>
      </c>
      <c r="G184" t="s">
        <v>64</v>
      </c>
      <c r="H184" s="3">
        <v>94.57</v>
      </c>
      <c r="I184" s="3">
        <v>473.73</v>
      </c>
      <c r="J184" s="3">
        <v>5009.29</v>
      </c>
      <c r="K184" s="1" t="s">
        <v>21</v>
      </c>
      <c r="L184" s="2" t="s">
        <v>22</v>
      </c>
      <c r="M184" s="3">
        <v>153.1</v>
      </c>
      <c r="N184" s="3">
        <v>1042.54</v>
      </c>
      <c r="O184" s="2" t="s">
        <v>42</v>
      </c>
      <c r="P184" s="3">
        <v>21.02</v>
      </c>
      <c r="Q184" t="str">
        <f t="shared" si="7"/>
        <v>2018-07</v>
      </c>
      <c r="R184" s="3">
        <f t="shared" si="8"/>
        <v>52.969123400655604</v>
      </c>
      <c r="S184" s="2" t="str">
        <f t="shared" si="6"/>
        <v>Success</v>
      </c>
    </row>
    <row r="185" spans="1:19" x14ac:dyDescent="0.3">
      <c r="A185" t="s">
        <v>250</v>
      </c>
      <c r="B185" s="1">
        <v>43043</v>
      </c>
      <c r="C185">
        <v>2017</v>
      </c>
      <c r="D185" s="2" t="s">
        <v>103</v>
      </c>
      <c r="E185" s="2" t="s">
        <v>228</v>
      </c>
      <c r="F185" s="2" t="s">
        <v>38</v>
      </c>
      <c r="G185" t="s">
        <v>64</v>
      </c>
      <c r="H185" s="3">
        <v>62.17</v>
      </c>
      <c r="I185" s="3">
        <v>310.88</v>
      </c>
      <c r="J185" s="3">
        <v>5000.53</v>
      </c>
      <c r="K185" s="1" t="s">
        <v>28</v>
      </c>
      <c r="L185" s="2" t="s">
        <v>22</v>
      </c>
      <c r="M185" s="3">
        <v>214.82</v>
      </c>
      <c r="N185" s="3">
        <v>215.73</v>
      </c>
      <c r="O185" s="2" t="s">
        <v>61</v>
      </c>
      <c r="P185" s="3">
        <v>28.27</v>
      </c>
      <c r="Q185" t="str">
        <f t="shared" si="7"/>
        <v>2017-11</v>
      </c>
      <c r="R185" s="3">
        <f t="shared" si="8"/>
        <v>80.433167122406303</v>
      </c>
      <c r="S185" s="2" t="str">
        <f t="shared" si="6"/>
        <v>Success</v>
      </c>
    </row>
    <row r="186" spans="1:19" x14ac:dyDescent="0.3">
      <c r="A186" t="s">
        <v>251</v>
      </c>
      <c r="B186" s="1">
        <v>41763</v>
      </c>
      <c r="C186">
        <v>2014</v>
      </c>
      <c r="D186" s="2" t="s">
        <v>59</v>
      </c>
      <c r="E186" s="2" t="s">
        <v>93</v>
      </c>
      <c r="F186" s="2" t="s">
        <v>19</v>
      </c>
      <c r="G186" t="s">
        <v>20</v>
      </c>
      <c r="H186" s="3">
        <v>2.7</v>
      </c>
      <c r="I186" s="3">
        <v>15.87</v>
      </c>
      <c r="J186" s="3">
        <v>5878.94</v>
      </c>
      <c r="K186" s="1" t="s">
        <v>28</v>
      </c>
      <c r="L186" s="2" t="s">
        <v>41</v>
      </c>
      <c r="M186" s="3">
        <v>251.54</v>
      </c>
      <c r="N186" s="3">
        <v>1109.77</v>
      </c>
      <c r="O186" s="2" t="s">
        <v>23</v>
      </c>
      <c r="P186" s="3">
        <v>33.770000000000003</v>
      </c>
      <c r="Q186" t="str">
        <f t="shared" si="7"/>
        <v>2014-05</v>
      </c>
      <c r="R186" s="3">
        <f t="shared" si="8"/>
        <v>2177.385185185185</v>
      </c>
      <c r="S186" s="2" t="str">
        <f t="shared" si="6"/>
        <v>Success</v>
      </c>
    </row>
    <row r="187" spans="1:19" x14ac:dyDescent="0.3">
      <c r="A187" t="s">
        <v>252</v>
      </c>
      <c r="B187" s="1">
        <v>43600</v>
      </c>
      <c r="C187">
        <v>2019</v>
      </c>
      <c r="D187" s="2" t="s">
        <v>103</v>
      </c>
      <c r="E187" s="2" t="s">
        <v>104</v>
      </c>
      <c r="F187" s="2" t="s">
        <v>19</v>
      </c>
      <c r="G187" t="s">
        <v>20</v>
      </c>
      <c r="H187" s="3">
        <v>81.709999999999994</v>
      </c>
      <c r="I187" s="3">
        <v>212.77</v>
      </c>
      <c r="J187" s="3">
        <v>2603.9499999999998</v>
      </c>
      <c r="K187" s="1" t="s">
        <v>28</v>
      </c>
      <c r="L187" s="2" t="s">
        <v>41</v>
      </c>
      <c r="M187" s="3">
        <v>69.75</v>
      </c>
      <c r="N187" s="3">
        <v>1159.3</v>
      </c>
      <c r="O187" s="2" t="s">
        <v>52</v>
      </c>
      <c r="P187" s="3">
        <v>28.48</v>
      </c>
      <c r="Q187" t="str">
        <f t="shared" si="7"/>
        <v>2019-05</v>
      </c>
      <c r="R187" s="3">
        <f t="shared" si="8"/>
        <v>31.868192387712643</v>
      </c>
      <c r="S187" s="2" t="str">
        <f t="shared" si="6"/>
        <v>Success</v>
      </c>
    </row>
    <row r="188" spans="1:19" x14ac:dyDescent="0.3">
      <c r="A188" t="s">
        <v>253</v>
      </c>
      <c r="B188" s="1">
        <v>40639</v>
      </c>
      <c r="C188">
        <v>2011</v>
      </c>
      <c r="D188" s="2" t="s">
        <v>31</v>
      </c>
      <c r="E188" s="2" t="s">
        <v>117</v>
      </c>
      <c r="F188" s="2" t="s">
        <v>19</v>
      </c>
      <c r="G188" t="s">
        <v>39</v>
      </c>
      <c r="H188" s="3">
        <v>76.2</v>
      </c>
      <c r="I188" s="3">
        <v>118.95</v>
      </c>
      <c r="J188" s="3">
        <v>1561</v>
      </c>
      <c r="K188" s="1" t="s">
        <v>28</v>
      </c>
      <c r="L188" s="2" t="s">
        <v>29</v>
      </c>
      <c r="M188" s="3">
        <v>144.29</v>
      </c>
      <c r="N188" s="3">
        <v>676.01</v>
      </c>
      <c r="O188" s="2" t="s">
        <v>23</v>
      </c>
      <c r="P188" s="3">
        <v>30.54</v>
      </c>
      <c r="Q188" t="str">
        <f t="shared" si="7"/>
        <v>2011-04</v>
      </c>
      <c r="R188" s="3">
        <f t="shared" si="8"/>
        <v>20.485564304461942</v>
      </c>
      <c r="S188" s="2" t="str">
        <f t="shared" si="6"/>
        <v>Success</v>
      </c>
    </row>
    <row r="189" spans="1:19" x14ac:dyDescent="0.3">
      <c r="A189" t="s">
        <v>254</v>
      </c>
      <c r="B189" s="1">
        <v>44147</v>
      </c>
      <c r="C189">
        <v>2020</v>
      </c>
      <c r="D189" s="2" t="s">
        <v>44</v>
      </c>
      <c r="E189" s="2" t="s">
        <v>99</v>
      </c>
      <c r="F189" s="2" t="s">
        <v>38</v>
      </c>
      <c r="G189" t="s">
        <v>27</v>
      </c>
      <c r="H189" s="3">
        <v>97.76</v>
      </c>
      <c r="I189" s="3">
        <v>668.98</v>
      </c>
      <c r="J189" s="3">
        <v>6843.04</v>
      </c>
      <c r="K189" s="1" t="s">
        <v>21</v>
      </c>
      <c r="L189" s="2" t="s">
        <v>22</v>
      </c>
      <c r="M189" s="3">
        <v>107.44</v>
      </c>
      <c r="N189" s="3">
        <v>1101.27</v>
      </c>
      <c r="O189" s="2" t="s">
        <v>61</v>
      </c>
      <c r="P189" s="3">
        <v>27.13</v>
      </c>
      <c r="Q189" t="str">
        <f t="shared" si="7"/>
        <v>2020-11</v>
      </c>
      <c r="R189" s="3">
        <f t="shared" si="8"/>
        <v>69.998363338788863</v>
      </c>
      <c r="S189" s="2" t="str">
        <f t="shared" si="6"/>
        <v>Success</v>
      </c>
    </row>
    <row r="190" spans="1:19" x14ac:dyDescent="0.3">
      <c r="A190" t="s">
        <v>255</v>
      </c>
      <c r="B190" s="1">
        <v>43236</v>
      </c>
      <c r="C190">
        <v>2018</v>
      </c>
      <c r="D190" s="2" t="s">
        <v>17</v>
      </c>
      <c r="E190" s="2" t="s">
        <v>72</v>
      </c>
      <c r="F190" s="2" t="s">
        <v>19</v>
      </c>
      <c r="G190" t="s">
        <v>39</v>
      </c>
      <c r="H190" s="3">
        <v>4.26</v>
      </c>
      <c r="I190" s="3">
        <v>28</v>
      </c>
      <c r="J190" s="3">
        <v>6572.6</v>
      </c>
      <c r="K190" s="1" t="s">
        <v>34</v>
      </c>
      <c r="L190" s="2" t="s">
        <v>29</v>
      </c>
      <c r="M190" s="3">
        <v>53.91</v>
      </c>
      <c r="N190" s="3">
        <v>407.16</v>
      </c>
      <c r="O190" s="2" t="s">
        <v>42</v>
      </c>
      <c r="P190" s="3">
        <v>31.28</v>
      </c>
      <c r="Q190" t="str">
        <f t="shared" si="7"/>
        <v>2018-05</v>
      </c>
      <c r="R190" s="3">
        <f t="shared" si="8"/>
        <v>1542.8638497652585</v>
      </c>
      <c r="S190" s="2" t="str">
        <f t="shared" si="6"/>
        <v>Success</v>
      </c>
    </row>
    <row r="191" spans="1:19" x14ac:dyDescent="0.3">
      <c r="A191" t="s">
        <v>256</v>
      </c>
      <c r="B191" s="1">
        <v>41022</v>
      </c>
      <c r="C191">
        <v>2012</v>
      </c>
      <c r="D191" s="2" t="s">
        <v>25</v>
      </c>
      <c r="E191" s="2" t="s">
        <v>87</v>
      </c>
      <c r="F191" s="2" t="s">
        <v>19</v>
      </c>
      <c r="G191" t="s">
        <v>56</v>
      </c>
      <c r="H191" s="3">
        <v>57.1</v>
      </c>
      <c r="I191" s="3">
        <v>348.12</v>
      </c>
      <c r="J191" s="3">
        <v>6096.65</v>
      </c>
      <c r="K191" s="1" t="s">
        <v>34</v>
      </c>
      <c r="L191" s="2" t="s">
        <v>22</v>
      </c>
      <c r="M191" s="3">
        <v>145.96</v>
      </c>
      <c r="N191" s="3">
        <v>939.75</v>
      </c>
      <c r="O191" s="2" t="s">
        <v>23</v>
      </c>
      <c r="P191" s="3">
        <v>27.51</v>
      </c>
      <c r="Q191" t="str">
        <f t="shared" si="7"/>
        <v>2012-04</v>
      </c>
      <c r="R191" s="3">
        <f t="shared" si="8"/>
        <v>106.77145359019264</v>
      </c>
      <c r="S191" s="2" t="str">
        <f t="shared" si="6"/>
        <v>Success</v>
      </c>
    </row>
    <row r="192" spans="1:19" x14ac:dyDescent="0.3">
      <c r="A192" t="s">
        <v>257</v>
      </c>
      <c r="B192" s="1">
        <v>41541</v>
      </c>
      <c r="C192">
        <v>2013</v>
      </c>
      <c r="D192" s="2" t="s">
        <v>25</v>
      </c>
      <c r="E192" s="2" t="s">
        <v>87</v>
      </c>
      <c r="F192" s="2" t="s">
        <v>33</v>
      </c>
      <c r="G192" t="s">
        <v>20</v>
      </c>
      <c r="H192" s="3">
        <v>60.91</v>
      </c>
      <c r="I192" s="3">
        <v>285.25</v>
      </c>
      <c r="J192" s="3">
        <v>4683.1899999999996</v>
      </c>
      <c r="K192" s="1" t="s">
        <v>28</v>
      </c>
      <c r="L192" s="2" t="s">
        <v>29</v>
      </c>
      <c r="M192" s="3">
        <v>292.23</v>
      </c>
      <c r="N192" s="3">
        <v>526.38</v>
      </c>
      <c r="O192" s="2" t="s">
        <v>70</v>
      </c>
      <c r="P192" s="3">
        <v>31.75</v>
      </c>
      <c r="Q192" t="str">
        <f t="shared" si="7"/>
        <v>2013-09</v>
      </c>
      <c r="R192" s="3">
        <f t="shared" si="8"/>
        <v>76.887046461993108</v>
      </c>
      <c r="S192" s="2" t="str">
        <f t="shared" si="6"/>
        <v>Success</v>
      </c>
    </row>
    <row r="193" spans="1:19" x14ac:dyDescent="0.3">
      <c r="A193" t="s">
        <v>258</v>
      </c>
      <c r="B193" s="1">
        <v>43426</v>
      </c>
      <c r="C193">
        <v>2018</v>
      </c>
      <c r="D193" s="2" t="s">
        <v>103</v>
      </c>
      <c r="E193" s="2" t="s">
        <v>107</v>
      </c>
      <c r="F193" s="2" t="s">
        <v>38</v>
      </c>
      <c r="G193" t="s">
        <v>46</v>
      </c>
      <c r="H193" s="3">
        <v>19.39</v>
      </c>
      <c r="I193" s="3">
        <v>87.55</v>
      </c>
      <c r="J193" s="3">
        <v>4515.25</v>
      </c>
      <c r="K193" s="1" t="s">
        <v>28</v>
      </c>
      <c r="L193" s="2" t="s">
        <v>49</v>
      </c>
      <c r="M193" s="3">
        <v>71.42</v>
      </c>
      <c r="N193" s="3">
        <v>818.62</v>
      </c>
      <c r="O193" s="2" t="s">
        <v>42</v>
      </c>
      <c r="P193" s="3">
        <v>30.7</v>
      </c>
      <c r="Q193" t="str">
        <f t="shared" si="7"/>
        <v>2018-11</v>
      </c>
      <c r="R193" s="3">
        <f t="shared" si="8"/>
        <v>232.86487880350697</v>
      </c>
      <c r="S193" s="2" t="str">
        <f t="shared" si="6"/>
        <v>Success</v>
      </c>
    </row>
    <row r="194" spans="1:19" x14ac:dyDescent="0.3">
      <c r="A194" t="s">
        <v>259</v>
      </c>
      <c r="B194" s="1">
        <v>44304</v>
      </c>
      <c r="C194">
        <v>2021</v>
      </c>
      <c r="D194" s="2" t="s">
        <v>103</v>
      </c>
      <c r="E194" s="2" t="s">
        <v>107</v>
      </c>
      <c r="F194" s="2" t="s">
        <v>19</v>
      </c>
      <c r="G194" t="s">
        <v>56</v>
      </c>
      <c r="H194" s="3">
        <v>74.23</v>
      </c>
      <c r="I194" s="3">
        <v>215.27</v>
      </c>
      <c r="J194" s="3">
        <v>2900.07</v>
      </c>
      <c r="K194" s="1" t="s">
        <v>21</v>
      </c>
      <c r="L194" s="2" t="s">
        <v>22</v>
      </c>
      <c r="M194" s="3">
        <v>72.88</v>
      </c>
      <c r="N194" s="3">
        <v>1142.96</v>
      </c>
      <c r="O194" s="2" t="s">
        <v>52</v>
      </c>
      <c r="P194" s="3">
        <v>25.4</v>
      </c>
      <c r="Q194" t="str">
        <f t="shared" si="7"/>
        <v>2021-04</v>
      </c>
      <c r="R194" s="3">
        <f t="shared" si="8"/>
        <v>39.068705375185232</v>
      </c>
      <c r="S194" s="2" t="str">
        <f t="shared" ref="S194:S257" si="9">IF(R194&lt;=0, "Failure","Success")</f>
        <v>Success</v>
      </c>
    </row>
    <row r="195" spans="1:19" x14ac:dyDescent="0.3">
      <c r="A195" t="s">
        <v>260</v>
      </c>
      <c r="B195" s="1">
        <v>41297</v>
      </c>
      <c r="C195">
        <v>2012</v>
      </c>
      <c r="D195" s="2" t="s">
        <v>103</v>
      </c>
      <c r="E195" s="2" t="s">
        <v>104</v>
      </c>
      <c r="F195" s="2" t="s">
        <v>38</v>
      </c>
      <c r="G195" t="s">
        <v>46</v>
      </c>
      <c r="H195" s="3">
        <v>56.14</v>
      </c>
      <c r="I195" s="3">
        <v>228.75</v>
      </c>
      <c r="J195" s="3">
        <v>4074.65</v>
      </c>
      <c r="K195" s="1" t="s">
        <v>21</v>
      </c>
      <c r="L195" s="2" t="s">
        <v>29</v>
      </c>
      <c r="M195" s="3">
        <v>56.57</v>
      </c>
      <c r="N195" s="3">
        <v>553.91</v>
      </c>
      <c r="O195" s="2" t="s">
        <v>23</v>
      </c>
      <c r="P195" s="3">
        <v>28.95</v>
      </c>
      <c r="Q195" t="str">
        <f t="shared" ref="Q195:Q258" si="10">TEXT(B195,"yyyy-mm")</f>
        <v>2013-01</v>
      </c>
      <c r="R195" s="3">
        <f t="shared" ref="R195:R258" si="11">J195/H195</f>
        <v>72.580156750979697</v>
      </c>
      <c r="S195" s="2" t="str">
        <f t="shared" si="9"/>
        <v>Success</v>
      </c>
    </row>
    <row r="196" spans="1:19" x14ac:dyDescent="0.3">
      <c r="A196" t="s">
        <v>261</v>
      </c>
      <c r="B196" s="1">
        <v>42743</v>
      </c>
      <c r="C196">
        <v>2016</v>
      </c>
      <c r="D196" s="2" t="s">
        <v>25</v>
      </c>
      <c r="E196" s="2" t="s">
        <v>87</v>
      </c>
      <c r="F196" s="2" t="s">
        <v>38</v>
      </c>
      <c r="G196" t="s">
        <v>64</v>
      </c>
      <c r="H196" s="3">
        <v>72.760000000000005</v>
      </c>
      <c r="I196" s="3">
        <v>317.02999999999997</v>
      </c>
      <c r="J196" s="3">
        <v>4357.22</v>
      </c>
      <c r="K196" s="1" t="s">
        <v>40</v>
      </c>
      <c r="L196" s="2" t="s">
        <v>49</v>
      </c>
      <c r="M196" s="3">
        <v>192.99</v>
      </c>
      <c r="N196" s="3">
        <v>369.58</v>
      </c>
      <c r="O196" s="2" t="s">
        <v>52</v>
      </c>
      <c r="P196" s="3">
        <v>22.54</v>
      </c>
      <c r="Q196" t="str">
        <f t="shared" si="10"/>
        <v>2017-01</v>
      </c>
      <c r="R196" s="3">
        <f t="shared" si="11"/>
        <v>59.884826827927434</v>
      </c>
      <c r="S196" s="2" t="str">
        <f t="shared" si="9"/>
        <v>Success</v>
      </c>
    </row>
    <row r="197" spans="1:19" x14ac:dyDescent="0.3">
      <c r="A197" t="s">
        <v>262</v>
      </c>
      <c r="B197" s="1">
        <v>41187</v>
      </c>
      <c r="C197">
        <v>2012</v>
      </c>
      <c r="D197" s="2" t="s">
        <v>31</v>
      </c>
      <c r="E197" s="2" t="s">
        <v>32</v>
      </c>
      <c r="F197" s="2" t="s">
        <v>33</v>
      </c>
      <c r="G197" t="s">
        <v>56</v>
      </c>
      <c r="H197" s="3">
        <v>44.03</v>
      </c>
      <c r="I197" s="3">
        <v>155.28</v>
      </c>
      <c r="J197" s="3">
        <v>3526.61</v>
      </c>
      <c r="K197" s="1" t="s">
        <v>28</v>
      </c>
      <c r="L197" s="2" t="s">
        <v>47</v>
      </c>
      <c r="M197" s="3">
        <v>245.67</v>
      </c>
      <c r="N197" s="3">
        <v>561.12</v>
      </c>
      <c r="O197" s="2" t="s">
        <v>42</v>
      </c>
      <c r="P197" s="3">
        <v>30.81</v>
      </c>
      <c r="Q197" t="str">
        <f t="shared" si="10"/>
        <v>2012-10</v>
      </c>
      <c r="R197" s="3">
        <f t="shared" si="11"/>
        <v>80.095616625028384</v>
      </c>
      <c r="S197" s="2" t="str">
        <f t="shared" si="9"/>
        <v>Success</v>
      </c>
    </row>
    <row r="198" spans="1:19" x14ac:dyDescent="0.3">
      <c r="A198" t="s">
        <v>263</v>
      </c>
      <c r="B198" s="1">
        <v>42997</v>
      </c>
      <c r="C198">
        <v>2017</v>
      </c>
      <c r="D198" s="2" t="s">
        <v>59</v>
      </c>
      <c r="E198" s="2" t="s">
        <v>60</v>
      </c>
      <c r="F198" s="2" t="s">
        <v>33</v>
      </c>
      <c r="G198" t="s">
        <v>56</v>
      </c>
      <c r="H198" s="3">
        <v>31.16</v>
      </c>
      <c r="I198" s="3">
        <v>208.55</v>
      </c>
      <c r="J198" s="3">
        <v>6692.94</v>
      </c>
      <c r="K198" s="1" t="s">
        <v>34</v>
      </c>
      <c r="L198" s="2" t="s">
        <v>47</v>
      </c>
      <c r="M198" s="3">
        <v>260.39999999999998</v>
      </c>
      <c r="N198" s="3">
        <v>579.89</v>
      </c>
      <c r="O198" s="2" t="s">
        <v>70</v>
      </c>
      <c r="P198" s="3">
        <v>26.6</v>
      </c>
      <c r="Q198" t="str">
        <f t="shared" si="10"/>
        <v>2017-09</v>
      </c>
      <c r="R198" s="3">
        <f t="shared" si="11"/>
        <v>214.79268292682926</v>
      </c>
      <c r="S198" s="2" t="str">
        <f t="shared" si="9"/>
        <v>Success</v>
      </c>
    </row>
    <row r="199" spans="1:19" x14ac:dyDescent="0.3">
      <c r="A199" t="s">
        <v>264</v>
      </c>
      <c r="B199" s="1">
        <v>42145</v>
      </c>
      <c r="C199">
        <v>2015</v>
      </c>
      <c r="D199" s="2" t="s">
        <v>103</v>
      </c>
      <c r="E199" s="2" t="s">
        <v>107</v>
      </c>
      <c r="F199" s="2" t="s">
        <v>19</v>
      </c>
      <c r="G199" t="s">
        <v>39</v>
      </c>
      <c r="H199" s="3">
        <v>20.88</v>
      </c>
      <c r="I199" s="3">
        <v>60.24</v>
      </c>
      <c r="J199" s="3">
        <v>2885.1</v>
      </c>
      <c r="K199" s="1" t="s">
        <v>28</v>
      </c>
      <c r="L199" s="2" t="s">
        <v>41</v>
      </c>
      <c r="M199" s="3">
        <v>292.18</v>
      </c>
      <c r="N199" s="3">
        <v>491.45</v>
      </c>
      <c r="O199" s="2" t="s">
        <v>52</v>
      </c>
      <c r="P199" s="3">
        <v>34.520000000000003</v>
      </c>
      <c r="Q199" t="str">
        <f t="shared" si="10"/>
        <v>2015-05</v>
      </c>
      <c r="R199" s="3">
        <f t="shared" si="11"/>
        <v>138.17528735632183</v>
      </c>
      <c r="S199" s="2" t="str">
        <f t="shared" si="9"/>
        <v>Success</v>
      </c>
    </row>
    <row r="200" spans="1:19" x14ac:dyDescent="0.3">
      <c r="A200" t="s">
        <v>265</v>
      </c>
      <c r="B200" s="1">
        <v>41997</v>
      </c>
      <c r="C200">
        <v>2014</v>
      </c>
      <c r="D200" s="2" t="s">
        <v>31</v>
      </c>
      <c r="E200" s="2" t="s">
        <v>32</v>
      </c>
      <c r="F200" s="2" t="s">
        <v>38</v>
      </c>
      <c r="G200" t="s">
        <v>20</v>
      </c>
      <c r="H200" s="3">
        <v>12.27</v>
      </c>
      <c r="I200" s="3">
        <v>53.78</v>
      </c>
      <c r="J200" s="3">
        <v>4383.1000000000004</v>
      </c>
      <c r="K200" s="1" t="s">
        <v>40</v>
      </c>
      <c r="L200" s="2" t="s">
        <v>29</v>
      </c>
      <c r="M200" s="3">
        <v>220.43</v>
      </c>
      <c r="N200" s="3">
        <v>750.1</v>
      </c>
      <c r="O200" s="2" t="s">
        <v>52</v>
      </c>
      <c r="P200" s="3">
        <v>34.14</v>
      </c>
      <c r="Q200" t="str">
        <f t="shared" si="10"/>
        <v>2014-12</v>
      </c>
      <c r="R200" s="3">
        <f t="shared" si="11"/>
        <v>357.22086389568057</v>
      </c>
      <c r="S200" s="2" t="str">
        <f t="shared" si="9"/>
        <v>Success</v>
      </c>
    </row>
    <row r="201" spans="1:19" x14ac:dyDescent="0.3">
      <c r="A201" t="s">
        <v>266</v>
      </c>
      <c r="B201" s="1">
        <v>44366</v>
      </c>
      <c r="C201">
        <v>2021</v>
      </c>
      <c r="D201" s="2" t="s">
        <v>44</v>
      </c>
      <c r="E201" s="2" t="s">
        <v>99</v>
      </c>
      <c r="F201" s="2" t="s">
        <v>33</v>
      </c>
      <c r="G201" t="s">
        <v>46</v>
      </c>
      <c r="H201" s="3">
        <v>67.62</v>
      </c>
      <c r="I201" s="3">
        <v>124.09</v>
      </c>
      <c r="J201" s="3">
        <v>1835.07</v>
      </c>
      <c r="K201" s="1" t="s">
        <v>34</v>
      </c>
      <c r="L201" s="2" t="s">
        <v>29</v>
      </c>
      <c r="M201" s="3">
        <v>110.51</v>
      </c>
      <c r="N201" s="3">
        <v>858.66</v>
      </c>
      <c r="O201" s="2" t="s">
        <v>52</v>
      </c>
      <c r="P201" s="3">
        <v>31.84</v>
      </c>
      <c r="Q201" t="str">
        <f t="shared" si="10"/>
        <v>2021-06</v>
      </c>
      <c r="R201" s="3">
        <f t="shared" si="11"/>
        <v>27.137976929902393</v>
      </c>
      <c r="S201" s="2" t="str">
        <f t="shared" si="9"/>
        <v>Success</v>
      </c>
    </row>
    <row r="202" spans="1:19" x14ac:dyDescent="0.3">
      <c r="A202" t="s">
        <v>267</v>
      </c>
      <c r="B202" s="1">
        <v>43907</v>
      </c>
      <c r="C202">
        <v>2019</v>
      </c>
      <c r="D202" s="2" t="s">
        <v>59</v>
      </c>
      <c r="E202" s="2" t="s">
        <v>63</v>
      </c>
      <c r="F202" s="2" t="s">
        <v>38</v>
      </c>
      <c r="G202" t="s">
        <v>27</v>
      </c>
      <c r="H202" s="3">
        <v>51.15</v>
      </c>
      <c r="I202" s="3">
        <v>333.62</v>
      </c>
      <c r="J202" s="3">
        <v>6522.35</v>
      </c>
      <c r="K202" s="1" t="s">
        <v>28</v>
      </c>
      <c r="L202" s="2" t="s">
        <v>47</v>
      </c>
      <c r="M202" s="3">
        <v>185.91</v>
      </c>
      <c r="N202" s="3">
        <v>990.72</v>
      </c>
      <c r="O202" s="2" t="s">
        <v>70</v>
      </c>
      <c r="P202" s="3">
        <v>30.52</v>
      </c>
      <c r="Q202" t="str">
        <f t="shared" si="10"/>
        <v>2020-03</v>
      </c>
      <c r="R202" s="3">
        <f t="shared" si="11"/>
        <v>127.51417399804498</v>
      </c>
      <c r="S202" s="2" t="str">
        <f t="shared" si="9"/>
        <v>Success</v>
      </c>
    </row>
    <row r="203" spans="1:19" x14ac:dyDescent="0.3">
      <c r="A203" t="s">
        <v>268</v>
      </c>
      <c r="B203" s="1">
        <v>40779</v>
      </c>
      <c r="C203">
        <v>2011</v>
      </c>
      <c r="D203" s="2" t="s">
        <v>17</v>
      </c>
      <c r="E203" s="2" t="s">
        <v>18</v>
      </c>
      <c r="F203" s="2" t="s">
        <v>33</v>
      </c>
      <c r="G203" t="s">
        <v>39</v>
      </c>
      <c r="H203" s="3">
        <v>66.8</v>
      </c>
      <c r="I203" s="3">
        <v>133.47</v>
      </c>
      <c r="J203" s="3">
        <v>1998.03</v>
      </c>
      <c r="K203" s="1" t="s">
        <v>21</v>
      </c>
      <c r="L203" s="2" t="s">
        <v>29</v>
      </c>
      <c r="M203" s="3">
        <v>190.81</v>
      </c>
      <c r="N203" s="3">
        <v>845.03</v>
      </c>
      <c r="O203" s="2" t="s">
        <v>52</v>
      </c>
      <c r="P203" s="3">
        <v>34.5</v>
      </c>
      <c r="Q203" t="str">
        <f t="shared" si="10"/>
        <v>2011-08</v>
      </c>
      <c r="R203" s="3">
        <f t="shared" si="11"/>
        <v>29.91062874251497</v>
      </c>
      <c r="S203" s="2" t="str">
        <f t="shared" si="9"/>
        <v>Success</v>
      </c>
    </row>
    <row r="204" spans="1:19" x14ac:dyDescent="0.3">
      <c r="A204" t="s">
        <v>269</v>
      </c>
      <c r="B204" s="1">
        <v>40886</v>
      </c>
      <c r="C204">
        <v>2011</v>
      </c>
      <c r="D204" s="2" t="s">
        <v>25</v>
      </c>
      <c r="E204" s="2" t="s">
        <v>26</v>
      </c>
      <c r="F204" s="2" t="s">
        <v>38</v>
      </c>
      <c r="G204" t="s">
        <v>56</v>
      </c>
      <c r="H204" s="3">
        <v>51.56</v>
      </c>
      <c r="I204" s="3">
        <v>212.06</v>
      </c>
      <c r="J204" s="3">
        <v>4112.79</v>
      </c>
      <c r="K204" s="1" t="s">
        <v>40</v>
      </c>
      <c r="L204" s="2" t="s">
        <v>49</v>
      </c>
      <c r="M204" s="3">
        <v>161.44</v>
      </c>
      <c r="N204" s="3">
        <v>591.13</v>
      </c>
      <c r="O204" s="2" t="s">
        <v>61</v>
      </c>
      <c r="P204" s="3">
        <v>30.36</v>
      </c>
      <c r="Q204" t="str">
        <f t="shared" si="10"/>
        <v>2011-12</v>
      </c>
      <c r="R204" s="3">
        <f t="shared" si="11"/>
        <v>79.767067494181532</v>
      </c>
      <c r="S204" s="2" t="str">
        <f t="shared" si="9"/>
        <v>Success</v>
      </c>
    </row>
    <row r="205" spans="1:19" x14ac:dyDescent="0.3">
      <c r="A205" t="s">
        <v>270</v>
      </c>
      <c r="B205" s="1">
        <v>40937</v>
      </c>
      <c r="C205">
        <v>2011</v>
      </c>
      <c r="D205" s="2" t="s">
        <v>25</v>
      </c>
      <c r="E205" s="2" t="s">
        <v>87</v>
      </c>
      <c r="F205" s="2" t="s">
        <v>38</v>
      </c>
      <c r="G205" t="s">
        <v>46</v>
      </c>
      <c r="H205" s="3">
        <v>92.13</v>
      </c>
      <c r="I205" s="3">
        <v>139.59</v>
      </c>
      <c r="J205" s="3">
        <v>1515.13</v>
      </c>
      <c r="K205" s="1" t="s">
        <v>40</v>
      </c>
      <c r="L205" s="2" t="s">
        <v>29</v>
      </c>
      <c r="M205" s="3">
        <v>137.08000000000001</v>
      </c>
      <c r="N205" s="3">
        <v>543.07000000000005</v>
      </c>
      <c r="O205" s="2" t="s">
        <v>42</v>
      </c>
      <c r="P205" s="3">
        <v>27.82</v>
      </c>
      <c r="Q205" t="str">
        <f t="shared" si="10"/>
        <v>2012-01</v>
      </c>
      <c r="R205" s="3">
        <f t="shared" si="11"/>
        <v>16.445566047975689</v>
      </c>
      <c r="S205" s="2" t="str">
        <f t="shared" si="9"/>
        <v>Success</v>
      </c>
    </row>
    <row r="206" spans="1:19" x14ac:dyDescent="0.3">
      <c r="A206" t="s">
        <v>271</v>
      </c>
      <c r="B206" s="1">
        <v>44297</v>
      </c>
      <c r="C206">
        <v>2021</v>
      </c>
      <c r="D206" s="2" t="s">
        <v>25</v>
      </c>
      <c r="E206" s="2" t="s">
        <v>87</v>
      </c>
      <c r="F206" s="2" t="s">
        <v>19</v>
      </c>
      <c r="G206" t="s">
        <v>46</v>
      </c>
      <c r="H206" s="3">
        <v>32.57</v>
      </c>
      <c r="I206" s="3">
        <v>91.25</v>
      </c>
      <c r="J206" s="3">
        <v>2801.58</v>
      </c>
      <c r="K206" s="1" t="s">
        <v>21</v>
      </c>
      <c r="L206" s="2" t="s">
        <v>41</v>
      </c>
      <c r="M206" s="3">
        <v>55.65</v>
      </c>
      <c r="N206" s="3">
        <v>543.08000000000004</v>
      </c>
      <c r="O206" s="2" t="s">
        <v>23</v>
      </c>
      <c r="P206" s="3">
        <v>30.16</v>
      </c>
      <c r="Q206" t="str">
        <f t="shared" si="10"/>
        <v>2021-04</v>
      </c>
      <c r="R206" s="3">
        <f t="shared" si="11"/>
        <v>86.017193736567393</v>
      </c>
      <c r="S206" s="2" t="str">
        <f t="shared" si="9"/>
        <v>Success</v>
      </c>
    </row>
    <row r="207" spans="1:19" x14ac:dyDescent="0.3">
      <c r="A207" t="s">
        <v>272</v>
      </c>
      <c r="B207" s="1">
        <v>43362</v>
      </c>
      <c r="C207">
        <v>2018</v>
      </c>
      <c r="D207" s="2" t="s">
        <v>59</v>
      </c>
      <c r="E207" s="2" t="s">
        <v>60</v>
      </c>
      <c r="F207" s="2" t="s">
        <v>33</v>
      </c>
      <c r="G207" t="s">
        <v>20</v>
      </c>
      <c r="H207" s="3">
        <v>56.43</v>
      </c>
      <c r="I207" s="3">
        <v>380.95</v>
      </c>
      <c r="J207" s="3">
        <v>6750.78</v>
      </c>
      <c r="K207" s="1" t="s">
        <v>40</v>
      </c>
      <c r="L207" s="2" t="s">
        <v>29</v>
      </c>
      <c r="M207" s="3">
        <v>249.44</v>
      </c>
      <c r="N207" s="3">
        <v>829.76</v>
      </c>
      <c r="O207" s="2" t="s">
        <v>42</v>
      </c>
      <c r="P207" s="3">
        <v>29.61</v>
      </c>
      <c r="Q207" t="str">
        <f t="shared" si="10"/>
        <v>2018-09</v>
      </c>
      <c r="R207" s="3">
        <f t="shared" si="11"/>
        <v>119.63104731525783</v>
      </c>
      <c r="S207" s="2" t="str">
        <f t="shared" si="9"/>
        <v>Success</v>
      </c>
    </row>
    <row r="208" spans="1:19" x14ac:dyDescent="0.3">
      <c r="A208" t="s">
        <v>273</v>
      </c>
      <c r="B208" s="1">
        <v>43754</v>
      </c>
      <c r="C208">
        <v>2019</v>
      </c>
      <c r="D208" s="2" t="s">
        <v>25</v>
      </c>
      <c r="E208" s="2" t="s">
        <v>69</v>
      </c>
      <c r="F208" s="2" t="s">
        <v>33</v>
      </c>
      <c r="G208" t="s">
        <v>46</v>
      </c>
      <c r="H208" s="3">
        <v>59.63</v>
      </c>
      <c r="I208" s="3">
        <v>198.75</v>
      </c>
      <c r="J208" s="3">
        <v>3333.01</v>
      </c>
      <c r="K208" s="1" t="s">
        <v>40</v>
      </c>
      <c r="L208" s="2" t="s">
        <v>41</v>
      </c>
      <c r="M208" s="3">
        <v>101.45</v>
      </c>
      <c r="N208" s="3">
        <v>952.33</v>
      </c>
      <c r="O208" s="2" t="s">
        <v>23</v>
      </c>
      <c r="P208" s="3">
        <v>28.66</v>
      </c>
      <c r="Q208" t="str">
        <f t="shared" si="10"/>
        <v>2019-10</v>
      </c>
      <c r="R208" s="3">
        <f t="shared" si="11"/>
        <v>55.894851584772766</v>
      </c>
      <c r="S208" s="2" t="str">
        <f t="shared" si="9"/>
        <v>Success</v>
      </c>
    </row>
    <row r="209" spans="1:19" x14ac:dyDescent="0.3">
      <c r="A209" t="s">
        <v>274</v>
      </c>
      <c r="B209" s="1">
        <v>41669</v>
      </c>
      <c r="C209">
        <v>2013</v>
      </c>
      <c r="D209" s="2" t="s">
        <v>31</v>
      </c>
      <c r="E209" s="2" t="s">
        <v>32</v>
      </c>
      <c r="F209" s="2" t="s">
        <v>38</v>
      </c>
      <c r="G209" t="s">
        <v>64</v>
      </c>
      <c r="H209" s="3">
        <v>26.97</v>
      </c>
      <c r="I209" s="3">
        <v>166.56</v>
      </c>
      <c r="J209" s="3">
        <v>6175.82</v>
      </c>
      <c r="K209" s="1" t="s">
        <v>34</v>
      </c>
      <c r="L209" s="2" t="s">
        <v>29</v>
      </c>
      <c r="M209" s="3">
        <v>199.24</v>
      </c>
      <c r="N209" s="3">
        <v>811.31</v>
      </c>
      <c r="O209" s="2" t="s">
        <v>61</v>
      </c>
      <c r="P209" s="3">
        <v>21.71</v>
      </c>
      <c r="Q209" t="str">
        <f t="shared" si="10"/>
        <v>2014-01</v>
      </c>
      <c r="R209" s="3">
        <f t="shared" si="11"/>
        <v>228.98850574712642</v>
      </c>
      <c r="S209" s="2" t="str">
        <f t="shared" si="9"/>
        <v>Success</v>
      </c>
    </row>
    <row r="210" spans="1:19" x14ac:dyDescent="0.3">
      <c r="A210" t="s">
        <v>275</v>
      </c>
      <c r="B210" s="1">
        <v>43966</v>
      </c>
      <c r="C210">
        <v>2020</v>
      </c>
      <c r="D210" s="2" t="s">
        <v>59</v>
      </c>
      <c r="E210" s="2" t="s">
        <v>60</v>
      </c>
      <c r="F210" s="2" t="s">
        <v>19</v>
      </c>
      <c r="G210" t="s">
        <v>20</v>
      </c>
      <c r="H210" s="3">
        <v>91.95</v>
      </c>
      <c r="I210" s="3">
        <v>417.55</v>
      </c>
      <c r="J210" s="3">
        <v>4541.01</v>
      </c>
      <c r="K210" s="1" t="s">
        <v>40</v>
      </c>
      <c r="L210" s="2" t="s">
        <v>41</v>
      </c>
      <c r="M210" s="3">
        <v>128.30000000000001</v>
      </c>
      <c r="N210" s="3">
        <v>438.57</v>
      </c>
      <c r="O210" s="2" t="s">
        <v>23</v>
      </c>
      <c r="P210" s="3">
        <v>22.75</v>
      </c>
      <c r="Q210" t="str">
        <f t="shared" si="10"/>
        <v>2020-05</v>
      </c>
      <c r="R210" s="3">
        <f t="shared" si="11"/>
        <v>49.385644371941275</v>
      </c>
      <c r="S210" s="2" t="str">
        <f t="shared" si="9"/>
        <v>Success</v>
      </c>
    </row>
    <row r="211" spans="1:19" x14ac:dyDescent="0.3">
      <c r="A211" t="s">
        <v>276</v>
      </c>
      <c r="B211" s="1">
        <v>42492</v>
      </c>
      <c r="C211">
        <v>2016</v>
      </c>
      <c r="D211" s="2" t="s">
        <v>59</v>
      </c>
      <c r="E211" s="2" t="s">
        <v>63</v>
      </c>
      <c r="F211" s="2" t="s">
        <v>19</v>
      </c>
      <c r="G211" t="s">
        <v>56</v>
      </c>
      <c r="H211" s="3">
        <v>57.91</v>
      </c>
      <c r="I211" s="3">
        <v>204.9</v>
      </c>
      <c r="J211" s="3">
        <v>3538.23</v>
      </c>
      <c r="K211" s="1" t="s">
        <v>28</v>
      </c>
      <c r="L211" s="2" t="s">
        <v>49</v>
      </c>
      <c r="M211" s="3">
        <v>208.88</v>
      </c>
      <c r="N211" s="3">
        <v>893.43</v>
      </c>
      <c r="O211" s="2" t="s">
        <v>42</v>
      </c>
      <c r="P211" s="3">
        <v>28.32</v>
      </c>
      <c r="Q211" t="str">
        <f t="shared" si="10"/>
        <v>2016-05</v>
      </c>
      <c r="R211" s="3">
        <f t="shared" si="11"/>
        <v>61.098773959592478</v>
      </c>
      <c r="S211" s="2" t="str">
        <f t="shared" si="9"/>
        <v>Success</v>
      </c>
    </row>
    <row r="212" spans="1:19" x14ac:dyDescent="0.3">
      <c r="A212" t="s">
        <v>277</v>
      </c>
      <c r="B212" s="1">
        <v>42438</v>
      </c>
      <c r="C212">
        <v>2015</v>
      </c>
      <c r="D212" s="2" t="s">
        <v>103</v>
      </c>
      <c r="E212" s="2" t="s">
        <v>104</v>
      </c>
      <c r="F212" s="2" t="s">
        <v>38</v>
      </c>
      <c r="G212" t="s">
        <v>27</v>
      </c>
      <c r="H212" s="3">
        <v>6.31</v>
      </c>
      <c r="I212" s="3">
        <v>19.899999999999999</v>
      </c>
      <c r="J212" s="3">
        <v>3154.24</v>
      </c>
      <c r="K212" s="1" t="s">
        <v>21</v>
      </c>
      <c r="L212" s="2" t="s">
        <v>29</v>
      </c>
      <c r="M212" s="3">
        <v>171.15</v>
      </c>
      <c r="N212" s="3">
        <v>395.13</v>
      </c>
      <c r="O212" s="2" t="s">
        <v>52</v>
      </c>
      <c r="P212" s="3">
        <v>34.46</v>
      </c>
      <c r="Q212" t="str">
        <f t="shared" si="10"/>
        <v>2016-03</v>
      </c>
      <c r="R212" s="3">
        <f t="shared" si="11"/>
        <v>499.87955625990492</v>
      </c>
      <c r="S212" s="2" t="str">
        <f t="shared" si="9"/>
        <v>Success</v>
      </c>
    </row>
    <row r="213" spans="1:19" x14ac:dyDescent="0.3">
      <c r="A213" t="s">
        <v>278</v>
      </c>
      <c r="B213" s="1">
        <v>43110</v>
      </c>
      <c r="C213">
        <v>2017</v>
      </c>
      <c r="D213" s="2" t="s">
        <v>36</v>
      </c>
      <c r="E213" s="2" t="s">
        <v>77</v>
      </c>
      <c r="F213" s="2" t="s">
        <v>38</v>
      </c>
      <c r="G213" t="s">
        <v>39</v>
      </c>
      <c r="H213" s="3">
        <v>84.15</v>
      </c>
      <c r="I213" s="3">
        <v>330.89</v>
      </c>
      <c r="J213" s="3">
        <v>3932.2</v>
      </c>
      <c r="K213" s="1" t="s">
        <v>21</v>
      </c>
      <c r="L213" s="2" t="s">
        <v>41</v>
      </c>
      <c r="M213" s="3">
        <v>191.35</v>
      </c>
      <c r="N213" s="3">
        <v>995.88</v>
      </c>
      <c r="O213" s="2" t="s">
        <v>42</v>
      </c>
      <c r="P213" s="3">
        <v>24.38</v>
      </c>
      <c r="Q213" t="str">
        <f t="shared" si="10"/>
        <v>2018-01</v>
      </c>
      <c r="R213" s="3">
        <f t="shared" si="11"/>
        <v>46.728461081402251</v>
      </c>
      <c r="S213" s="2" t="str">
        <f t="shared" si="9"/>
        <v>Success</v>
      </c>
    </row>
    <row r="214" spans="1:19" x14ac:dyDescent="0.3">
      <c r="A214" t="s">
        <v>279</v>
      </c>
      <c r="B214" s="1">
        <v>41307</v>
      </c>
      <c r="C214">
        <v>2012</v>
      </c>
      <c r="D214" s="2" t="s">
        <v>59</v>
      </c>
      <c r="E214" s="2" t="s">
        <v>63</v>
      </c>
      <c r="F214" s="2" t="s">
        <v>38</v>
      </c>
      <c r="G214" t="s">
        <v>27</v>
      </c>
      <c r="H214" s="3">
        <v>74.510000000000005</v>
      </c>
      <c r="I214" s="3">
        <v>416.92</v>
      </c>
      <c r="J214" s="3">
        <v>5595.52</v>
      </c>
      <c r="K214" s="1" t="s">
        <v>21</v>
      </c>
      <c r="L214" s="2" t="s">
        <v>47</v>
      </c>
      <c r="M214" s="3">
        <v>193.18</v>
      </c>
      <c r="N214" s="3">
        <v>467.89</v>
      </c>
      <c r="O214" s="2" t="s">
        <v>61</v>
      </c>
      <c r="P214" s="3">
        <v>32.35</v>
      </c>
      <c r="Q214" t="str">
        <f t="shared" si="10"/>
        <v>2013-02</v>
      </c>
      <c r="R214" s="3">
        <f t="shared" si="11"/>
        <v>75.097570795866332</v>
      </c>
      <c r="S214" s="2" t="str">
        <f t="shared" si="9"/>
        <v>Success</v>
      </c>
    </row>
    <row r="215" spans="1:19" x14ac:dyDescent="0.3">
      <c r="A215" t="s">
        <v>280</v>
      </c>
      <c r="B215" s="1">
        <v>44654</v>
      </c>
      <c r="C215">
        <v>2022</v>
      </c>
      <c r="D215" s="2" t="s">
        <v>44</v>
      </c>
      <c r="E215" s="2" t="s">
        <v>45</v>
      </c>
      <c r="F215" s="2" t="s">
        <v>19</v>
      </c>
      <c r="G215" t="s">
        <v>46</v>
      </c>
      <c r="H215" s="3">
        <v>55.09</v>
      </c>
      <c r="I215" s="3">
        <v>382.25</v>
      </c>
      <c r="J215" s="3">
        <v>6938.65</v>
      </c>
      <c r="K215" s="1" t="s">
        <v>21</v>
      </c>
      <c r="L215" s="2" t="s">
        <v>29</v>
      </c>
      <c r="M215" s="3">
        <v>234</v>
      </c>
      <c r="N215" s="3">
        <v>853.67</v>
      </c>
      <c r="O215" s="2" t="s">
        <v>42</v>
      </c>
      <c r="P215" s="3">
        <v>24.47</v>
      </c>
      <c r="Q215" t="str">
        <f t="shared" si="10"/>
        <v>2022-04</v>
      </c>
      <c r="R215" s="3">
        <f t="shared" si="11"/>
        <v>125.95117081139951</v>
      </c>
      <c r="S215" s="2" t="str">
        <f t="shared" si="9"/>
        <v>Success</v>
      </c>
    </row>
    <row r="216" spans="1:19" x14ac:dyDescent="0.3">
      <c r="A216" t="s">
        <v>281</v>
      </c>
      <c r="B216" s="1">
        <v>40883</v>
      </c>
      <c r="C216">
        <v>2011</v>
      </c>
      <c r="D216" s="2" t="s">
        <v>31</v>
      </c>
      <c r="E216" s="2" t="s">
        <v>32</v>
      </c>
      <c r="F216" s="2" t="s">
        <v>38</v>
      </c>
      <c r="G216" t="s">
        <v>64</v>
      </c>
      <c r="H216" s="3">
        <v>77.790000000000006</v>
      </c>
      <c r="I216" s="3">
        <v>188.38</v>
      </c>
      <c r="J216" s="3">
        <v>2421.6799999999998</v>
      </c>
      <c r="K216" s="1" t="s">
        <v>34</v>
      </c>
      <c r="L216" s="2" t="s">
        <v>41</v>
      </c>
      <c r="M216" s="3">
        <v>265.26</v>
      </c>
      <c r="N216" s="3">
        <v>810.26</v>
      </c>
      <c r="O216" s="2" t="s">
        <v>52</v>
      </c>
      <c r="P216" s="3">
        <v>22.49</v>
      </c>
      <c r="Q216" t="str">
        <f t="shared" si="10"/>
        <v>2011-12</v>
      </c>
      <c r="R216" s="3">
        <f t="shared" si="11"/>
        <v>31.130993700989841</v>
      </c>
      <c r="S216" s="2" t="str">
        <f t="shared" si="9"/>
        <v>Success</v>
      </c>
    </row>
    <row r="217" spans="1:19" x14ac:dyDescent="0.3">
      <c r="A217" t="s">
        <v>282</v>
      </c>
      <c r="B217" s="1">
        <v>44844</v>
      </c>
      <c r="C217">
        <v>2022</v>
      </c>
      <c r="D217" s="2" t="s">
        <v>44</v>
      </c>
      <c r="E217" s="2" t="s">
        <v>45</v>
      </c>
      <c r="F217" s="2" t="s">
        <v>33</v>
      </c>
      <c r="G217" t="s">
        <v>27</v>
      </c>
      <c r="H217" s="3">
        <v>35.729999999999997</v>
      </c>
      <c r="I217" s="3">
        <v>95.99</v>
      </c>
      <c r="J217" s="3">
        <v>2686.51</v>
      </c>
      <c r="K217" s="1" t="s">
        <v>40</v>
      </c>
      <c r="L217" s="2" t="s">
        <v>22</v>
      </c>
      <c r="M217" s="3">
        <v>130.91</v>
      </c>
      <c r="N217" s="3">
        <v>904.05</v>
      </c>
      <c r="O217" s="2" t="s">
        <v>70</v>
      </c>
      <c r="P217" s="3">
        <v>28.59</v>
      </c>
      <c r="Q217" t="str">
        <f t="shared" si="10"/>
        <v>2022-10</v>
      </c>
      <c r="R217" s="3">
        <f t="shared" si="11"/>
        <v>75.189196753428504</v>
      </c>
      <c r="S217" s="2" t="str">
        <f t="shared" si="9"/>
        <v>Success</v>
      </c>
    </row>
    <row r="218" spans="1:19" x14ac:dyDescent="0.3">
      <c r="A218" t="s">
        <v>283</v>
      </c>
      <c r="B218" s="1">
        <v>40583</v>
      </c>
      <c r="C218">
        <v>2010</v>
      </c>
      <c r="D218" s="2" t="s">
        <v>103</v>
      </c>
      <c r="E218" s="2" t="s">
        <v>107</v>
      </c>
      <c r="F218" s="2" t="s">
        <v>38</v>
      </c>
      <c r="G218" t="s">
        <v>39</v>
      </c>
      <c r="H218" s="3">
        <v>13.56</v>
      </c>
      <c r="I218" s="3">
        <v>84.02</v>
      </c>
      <c r="J218" s="3">
        <v>6196.47</v>
      </c>
      <c r="K218" s="1" t="s">
        <v>40</v>
      </c>
      <c r="L218" s="2" t="s">
        <v>29</v>
      </c>
      <c r="M218" s="3">
        <v>86.56</v>
      </c>
      <c r="N218" s="3">
        <v>522.1</v>
      </c>
      <c r="O218" s="2" t="s">
        <v>42</v>
      </c>
      <c r="P218" s="3">
        <v>31.42</v>
      </c>
      <c r="Q218" t="str">
        <f t="shared" si="10"/>
        <v>2011-02</v>
      </c>
      <c r="R218" s="3">
        <f t="shared" si="11"/>
        <v>456.96681415929203</v>
      </c>
      <c r="S218" s="2" t="str">
        <f t="shared" si="9"/>
        <v>Success</v>
      </c>
    </row>
    <row r="219" spans="1:19" x14ac:dyDescent="0.3">
      <c r="A219" t="s">
        <v>284</v>
      </c>
      <c r="B219" s="1">
        <v>44260</v>
      </c>
      <c r="C219">
        <v>2020</v>
      </c>
      <c r="D219" s="2" t="s">
        <v>103</v>
      </c>
      <c r="E219" s="2" t="s">
        <v>228</v>
      </c>
      <c r="F219" s="2" t="s">
        <v>38</v>
      </c>
      <c r="G219" t="s">
        <v>39</v>
      </c>
      <c r="H219" s="3">
        <v>42.01</v>
      </c>
      <c r="I219" s="3">
        <v>155.94</v>
      </c>
      <c r="J219" s="3">
        <v>3711.95</v>
      </c>
      <c r="K219" s="1" t="s">
        <v>21</v>
      </c>
      <c r="L219" s="2" t="s">
        <v>49</v>
      </c>
      <c r="M219" s="3">
        <v>150.71</v>
      </c>
      <c r="N219" s="3">
        <v>949.8</v>
      </c>
      <c r="O219" s="2" t="s">
        <v>70</v>
      </c>
      <c r="P219" s="3">
        <v>26.82</v>
      </c>
      <c r="Q219" t="str">
        <f t="shared" si="10"/>
        <v>2021-03</v>
      </c>
      <c r="R219" s="3">
        <f t="shared" si="11"/>
        <v>88.358724113306351</v>
      </c>
      <c r="S219" s="2" t="str">
        <f t="shared" si="9"/>
        <v>Success</v>
      </c>
    </row>
    <row r="220" spans="1:19" x14ac:dyDescent="0.3">
      <c r="A220" t="s">
        <v>285</v>
      </c>
      <c r="B220" s="1">
        <v>44679</v>
      </c>
      <c r="C220">
        <v>2022</v>
      </c>
      <c r="D220" s="2" t="s">
        <v>59</v>
      </c>
      <c r="E220" s="2" t="s">
        <v>60</v>
      </c>
      <c r="F220" s="2" t="s">
        <v>19</v>
      </c>
      <c r="G220" t="s">
        <v>64</v>
      </c>
      <c r="H220" s="3">
        <v>73.36</v>
      </c>
      <c r="I220" s="3">
        <v>275.14999999999998</v>
      </c>
      <c r="J220" s="3">
        <v>3750.7</v>
      </c>
      <c r="K220" s="1" t="s">
        <v>34</v>
      </c>
      <c r="L220" s="2" t="s">
        <v>41</v>
      </c>
      <c r="M220" s="3">
        <v>262.52999999999997</v>
      </c>
      <c r="N220" s="3">
        <v>995.68</v>
      </c>
      <c r="O220" s="2" t="s">
        <v>52</v>
      </c>
      <c r="P220" s="3">
        <v>23.27</v>
      </c>
      <c r="Q220" t="str">
        <f t="shared" si="10"/>
        <v>2022-04</v>
      </c>
      <c r="R220" s="3">
        <f t="shared" si="11"/>
        <v>51.1273173391494</v>
      </c>
      <c r="S220" s="2" t="str">
        <f t="shared" si="9"/>
        <v>Success</v>
      </c>
    </row>
    <row r="221" spans="1:19" x14ac:dyDescent="0.3">
      <c r="A221" t="s">
        <v>286</v>
      </c>
      <c r="B221" s="1">
        <v>42426</v>
      </c>
      <c r="C221">
        <v>2015</v>
      </c>
      <c r="D221" s="2" t="s">
        <v>36</v>
      </c>
      <c r="E221" s="2" t="s">
        <v>51</v>
      </c>
      <c r="F221" s="2" t="s">
        <v>38</v>
      </c>
      <c r="G221" t="s">
        <v>20</v>
      </c>
      <c r="H221" s="3">
        <v>55.18</v>
      </c>
      <c r="I221" s="3">
        <v>98.42</v>
      </c>
      <c r="J221" s="3">
        <v>1783.57</v>
      </c>
      <c r="K221" s="1" t="s">
        <v>28</v>
      </c>
      <c r="L221" s="2" t="s">
        <v>22</v>
      </c>
      <c r="M221" s="3">
        <v>247.08</v>
      </c>
      <c r="N221" s="3">
        <v>1094.1500000000001</v>
      </c>
      <c r="O221" s="2" t="s">
        <v>23</v>
      </c>
      <c r="P221" s="3">
        <v>20.69</v>
      </c>
      <c r="Q221" t="str">
        <f t="shared" si="10"/>
        <v>2016-02</v>
      </c>
      <c r="R221" s="3">
        <f t="shared" si="11"/>
        <v>32.322761870242843</v>
      </c>
      <c r="S221" s="2" t="str">
        <f t="shared" si="9"/>
        <v>Success</v>
      </c>
    </row>
    <row r="222" spans="1:19" x14ac:dyDescent="0.3">
      <c r="A222" t="s">
        <v>287</v>
      </c>
      <c r="B222" s="1">
        <v>43132</v>
      </c>
      <c r="C222">
        <v>2017</v>
      </c>
      <c r="D222" s="2" t="s">
        <v>25</v>
      </c>
      <c r="E222" s="2" t="s">
        <v>26</v>
      </c>
      <c r="F222" s="2" t="s">
        <v>38</v>
      </c>
      <c r="G222" t="s">
        <v>64</v>
      </c>
      <c r="H222" s="3">
        <v>99.19</v>
      </c>
      <c r="I222" s="3">
        <v>353.79</v>
      </c>
      <c r="J222" s="3">
        <v>3566.8</v>
      </c>
      <c r="K222" s="1" t="s">
        <v>40</v>
      </c>
      <c r="L222" s="2" t="s">
        <v>49</v>
      </c>
      <c r="M222" s="3">
        <v>270.54000000000002</v>
      </c>
      <c r="N222" s="3">
        <v>501.87</v>
      </c>
      <c r="O222" s="2" t="s">
        <v>70</v>
      </c>
      <c r="P222" s="3">
        <v>21.4</v>
      </c>
      <c r="Q222" t="str">
        <f t="shared" si="10"/>
        <v>2018-02</v>
      </c>
      <c r="R222" s="3">
        <f t="shared" si="11"/>
        <v>35.959270087710458</v>
      </c>
      <c r="S222" s="2" t="str">
        <f t="shared" si="9"/>
        <v>Success</v>
      </c>
    </row>
    <row r="223" spans="1:19" x14ac:dyDescent="0.3">
      <c r="A223" t="s">
        <v>288</v>
      </c>
      <c r="B223" s="1">
        <v>43952</v>
      </c>
      <c r="C223">
        <v>2020</v>
      </c>
      <c r="D223" s="2" t="s">
        <v>25</v>
      </c>
      <c r="E223" s="2" t="s">
        <v>87</v>
      </c>
      <c r="F223" s="2" t="s">
        <v>19</v>
      </c>
      <c r="G223" t="s">
        <v>56</v>
      </c>
      <c r="H223" s="3">
        <v>6.13</v>
      </c>
      <c r="I223" s="3">
        <v>29.14</v>
      </c>
      <c r="J223" s="3">
        <v>4753.63</v>
      </c>
      <c r="K223" s="1" t="s">
        <v>40</v>
      </c>
      <c r="L223" s="2" t="s">
        <v>22</v>
      </c>
      <c r="M223" s="3">
        <v>157.31</v>
      </c>
      <c r="N223" s="3">
        <v>291.2</v>
      </c>
      <c r="O223" s="2" t="s">
        <v>23</v>
      </c>
      <c r="P223" s="3">
        <v>20.02</v>
      </c>
      <c r="Q223" t="str">
        <f t="shared" si="10"/>
        <v>2020-05</v>
      </c>
      <c r="R223" s="3">
        <f t="shared" si="11"/>
        <v>775.46982055464935</v>
      </c>
      <c r="S223" s="2" t="str">
        <f t="shared" si="9"/>
        <v>Success</v>
      </c>
    </row>
    <row r="224" spans="1:19" x14ac:dyDescent="0.3">
      <c r="A224" t="s">
        <v>289</v>
      </c>
      <c r="B224" s="1">
        <v>41395</v>
      </c>
      <c r="C224">
        <v>2013</v>
      </c>
      <c r="D224" s="2" t="s">
        <v>103</v>
      </c>
      <c r="E224" s="2" t="s">
        <v>228</v>
      </c>
      <c r="F224" s="2" t="s">
        <v>19</v>
      </c>
      <c r="G224" t="s">
        <v>39</v>
      </c>
      <c r="H224" s="3">
        <v>45.06</v>
      </c>
      <c r="I224" s="3">
        <v>47.24</v>
      </c>
      <c r="J224" s="3">
        <v>1048.3800000000001</v>
      </c>
      <c r="K224" s="1" t="s">
        <v>34</v>
      </c>
      <c r="L224" s="2" t="s">
        <v>22</v>
      </c>
      <c r="M224" s="3">
        <v>254.28</v>
      </c>
      <c r="N224" s="3">
        <v>1188.1500000000001</v>
      </c>
      <c r="O224" s="2" t="s">
        <v>52</v>
      </c>
      <c r="P224" s="3">
        <v>30.41</v>
      </c>
      <c r="Q224" t="str">
        <f t="shared" si="10"/>
        <v>2013-05</v>
      </c>
      <c r="R224" s="3">
        <f t="shared" si="11"/>
        <v>23.266311584553929</v>
      </c>
      <c r="S224" s="2" t="str">
        <f t="shared" si="9"/>
        <v>Success</v>
      </c>
    </row>
    <row r="225" spans="1:19" x14ac:dyDescent="0.3">
      <c r="A225" t="s">
        <v>290</v>
      </c>
      <c r="B225" s="1">
        <v>40677</v>
      </c>
      <c r="C225">
        <v>2011</v>
      </c>
      <c r="D225" s="2" t="s">
        <v>103</v>
      </c>
      <c r="E225" s="2" t="s">
        <v>107</v>
      </c>
      <c r="F225" s="2" t="s">
        <v>19</v>
      </c>
      <c r="G225" t="s">
        <v>64</v>
      </c>
      <c r="H225" s="3">
        <v>11.22</v>
      </c>
      <c r="I225" s="3">
        <v>35.96</v>
      </c>
      <c r="J225" s="3">
        <v>3205.37</v>
      </c>
      <c r="K225" s="1" t="s">
        <v>34</v>
      </c>
      <c r="L225" s="2" t="s">
        <v>41</v>
      </c>
      <c r="M225" s="3">
        <v>84.28</v>
      </c>
      <c r="N225" s="3">
        <v>973.46</v>
      </c>
      <c r="O225" s="2" t="s">
        <v>42</v>
      </c>
      <c r="P225" s="3">
        <v>29.62</v>
      </c>
      <c r="Q225" t="str">
        <f t="shared" si="10"/>
        <v>2011-05</v>
      </c>
      <c r="R225" s="3">
        <f t="shared" si="11"/>
        <v>285.68360071301242</v>
      </c>
      <c r="S225" s="2" t="str">
        <f t="shared" si="9"/>
        <v>Success</v>
      </c>
    </row>
    <row r="226" spans="1:19" x14ac:dyDescent="0.3">
      <c r="A226" t="s">
        <v>291</v>
      </c>
      <c r="B226" s="1">
        <v>43730</v>
      </c>
      <c r="C226">
        <v>2019</v>
      </c>
      <c r="D226" s="2" t="s">
        <v>25</v>
      </c>
      <c r="E226" s="2" t="s">
        <v>69</v>
      </c>
      <c r="F226" s="2" t="s">
        <v>33</v>
      </c>
      <c r="G226" t="s">
        <v>27</v>
      </c>
      <c r="H226" s="3">
        <v>65.349999999999994</v>
      </c>
      <c r="I226" s="3">
        <v>237.91</v>
      </c>
      <c r="J226" s="3">
        <v>3640.6</v>
      </c>
      <c r="K226" s="1" t="s">
        <v>40</v>
      </c>
      <c r="L226" s="2" t="s">
        <v>41</v>
      </c>
      <c r="M226" s="3">
        <v>207.02</v>
      </c>
      <c r="N226" s="3">
        <v>351.37</v>
      </c>
      <c r="O226" s="2" t="s">
        <v>52</v>
      </c>
      <c r="P226" s="3">
        <v>29.24</v>
      </c>
      <c r="Q226" t="str">
        <f t="shared" si="10"/>
        <v>2019-09</v>
      </c>
      <c r="R226" s="3">
        <f t="shared" si="11"/>
        <v>55.709257842387153</v>
      </c>
      <c r="S226" s="2" t="str">
        <f t="shared" si="9"/>
        <v>Success</v>
      </c>
    </row>
    <row r="227" spans="1:19" x14ac:dyDescent="0.3">
      <c r="A227" t="s">
        <v>292</v>
      </c>
      <c r="B227" s="1">
        <v>41124</v>
      </c>
      <c r="C227">
        <v>2012</v>
      </c>
      <c r="D227" s="2" t="s">
        <v>25</v>
      </c>
      <c r="E227" s="2" t="s">
        <v>26</v>
      </c>
      <c r="F227" s="2" t="s">
        <v>33</v>
      </c>
      <c r="G227" t="s">
        <v>27</v>
      </c>
      <c r="H227" s="3">
        <v>73.27</v>
      </c>
      <c r="I227" s="3">
        <v>227.81</v>
      </c>
      <c r="J227" s="3">
        <v>3109.21</v>
      </c>
      <c r="K227" s="1" t="s">
        <v>28</v>
      </c>
      <c r="L227" s="2" t="s">
        <v>47</v>
      </c>
      <c r="M227" s="3">
        <v>128.63</v>
      </c>
      <c r="N227" s="3">
        <v>339.83</v>
      </c>
      <c r="O227" s="2" t="s">
        <v>70</v>
      </c>
      <c r="P227" s="3">
        <v>29.67</v>
      </c>
      <c r="Q227" t="str">
        <f t="shared" si="10"/>
        <v>2012-08</v>
      </c>
      <c r="R227" s="3">
        <f t="shared" si="11"/>
        <v>42.434966562030844</v>
      </c>
      <c r="S227" s="2" t="str">
        <f t="shared" si="9"/>
        <v>Success</v>
      </c>
    </row>
    <row r="228" spans="1:19" x14ac:dyDescent="0.3">
      <c r="A228" t="s">
        <v>293</v>
      </c>
      <c r="B228" s="1">
        <v>44305</v>
      </c>
      <c r="C228">
        <v>2021</v>
      </c>
      <c r="D228" s="2" t="s">
        <v>59</v>
      </c>
      <c r="E228" s="2" t="s">
        <v>93</v>
      </c>
      <c r="F228" s="2" t="s">
        <v>19</v>
      </c>
      <c r="G228" t="s">
        <v>20</v>
      </c>
      <c r="H228" s="3">
        <v>78.12</v>
      </c>
      <c r="I228" s="3">
        <v>401.76</v>
      </c>
      <c r="J228" s="3">
        <v>5142.8599999999997</v>
      </c>
      <c r="K228" s="1" t="s">
        <v>34</v>
      </c>
      <c r="L228" s="2" t="s">
        <v>22</v>
      </c>
      <c r="M228" s="3">
        <v>101.36</v>
      </c>
      <c r="N228" s="3">
        <v>806.93</v>
      </c>
      <c r="O228" s="2" t="s">
        <v>42</v>
      </c>
      <c r="P228" s="3">
        <v>31.22</v>
      </c>
      <c r="Q228" t="str">
        <f t="shared" si="10"/>
        <v>2021-04</v>
      </c>
      <c r="R228" s="3">
        <f t="shared" si="11"/>
        <v>65.832821300563225</v>
      </c>
      <c r="S228" s="2" t="str">
        <f t="shared" si="9"/>
        <v>Success</v>
      </c>
    </row>
    <row r="229" spans="1:19" x14ac:dyDescent="0.3">
      <c r="A229" t="s">
        <v>294</v>
      </c>
      <c r="B229" s="1">
        <v>43073</v>
      </c>
      <c r="C229">
        <v>2017</v>
      </c>
      <c r="D229" s="2" t="s">
        <v>44</v>
      </c>
      <c r="E229" s="2" t="s">
        <v>45</v>
      </c>
      <c r="F229" s="2" t="s">
        <v>38</v>
      </c>
      <c r="G229" t="s">
        <v>64</v>
      </c>
      <c r="H229" s="3">
        <v>24.87</v>
      </c>
      <c r="I229" s="3">
        <v>120.08</v>
      </c>
      <c r="J229" s="3">
        <v>4828.49</v>
      </c>
      <c r="K229" s="1" t="s">
        <v>21</v>
      </c>
      <c r="L229" s="2" t="s">
        <v>29</v>
      </c>
      <c r="M229" s="3">
        <v>182.07</v>
      </c>
      <c r="N229" s="3">
        <v>1177.7</v>
      </c>
      <c r="O229" s="2" t="s">
        <v>70</v>
      </c>
      <c r="P229" s="3">
        <v>34.01</v>
      </c>
      <c r="Q229" t="str">
        <f t="shared" si="10"/>
        <v>2017-12</v>
      </c>
      <c r="R229" s="3">
        <f t="shared" si="11"/>
        <v>194.14917571371129</v>
      </c>
      <c r="S229" s="2" t="str">
        <f t="shared" si="9"/>
        <v>Success</v>
      </c>
    </row>
    <row r="230" spans="1:19" x14ac:dyDescent="0.3">
      <c r="A230" t="s">
        <v>295</v>
      </c>
      <c r="B230" s="1">
        <v>42690</v>
      </c>
      <c r="C230">
        <v>2016</v>
      </c>
      <c r="D230" s="2" t="s">
        <v>44</v>
      </c>
      <c r="E230" s="2" t="s">
        <v>67</v>
      </c>
      <c r="F230" s="2" t="s">
        <v>38</v>
      </c>
      <c r="G230" t="s">
        <v>27</v>
      </c>
      <c r="H230" s="3">
        <v>68.61</v>
      </c>
      <c r="I230" s="3">
        <v>382.59</v>
      </c>
      <c r="J230" s="3">
        <v>5576.36</v>
      </c>
      <c r="K230" s="1" t="s">
        <v>21</v>
      </c>
      <c r="L230" s="2" t="s">
        <v>29</v>
      </c>
      <c r="M230" s="3">
        <v>54.17</v>
      </c>
      <c r="N230" s="3">
        <v>267.52999999999997</v>
      </c>
      <c r="O230" s="2" t="s">
        <v>70</v>
      </c>
      <c r="P230" s="3">
        <v>23.24</v>
      </c>
      <c r="Q230" t="str">
        <f t="shared" si="10"/>
        <v>2016-11</v>
      </c>
      <c r="R230" s="3">
        <f t="shared" si="11"/>
        <v>81.276198804838941</v>
      </c>
      <c r="S230" s="2" t="str">
        <f t="shared" si="9"/>
        <v>Success</v>
      </c>
    </row>
    <row r="231" spans="1:19" x14ac:dyDescent="0.3">
      <c r="A231" t="s">
        <v>296</v>
      </c>
      <c r="B231" s="1">
        <v>43927</v>
      </c>
      <c r="C231">
        <v>2020</v>
      </c>
      <c r="D231" s="2" t="s">
        <v>59</v>
      </c>
      <c r="E231" s="2" t="s">
        <v>63</v>
      </c>
      <c r="F231" s="2" t="s">
        <v>19</v>
      </c>
      <c r="G231" t="s">
        <v>27</v>
      </c>
      <c r="H231" s="3">
        <v>76.94</v>
      </c>
      <c r="I231" s="3">
        <v>272.48</v>
      </c>
      <c r="J231" s="3">
        <v>3541.45</v>
      </c>
      <c r="K231" s="1" t="s">
        <v>28</v>
      </c>
      <c r="L231" s="2" t="s">
        <v>49</v>
      </c>
      <c r="M231" s="3">
        <v>70.61</v>
      </c>
      <c r="N231" s="3">
        <v>736.56</v>
      </c>
      <c r="O231" s="2" t="s">
        <v>61</v>
      </c>
      <c r="P231" s="3">
        <v>22.29</v>
      </c>
      <c r="Q231" t="str">
        <f t="shared" si="10"/>
        <v>2020-04</v>
      </c>
      <c r="R231" s="3">
        <f t="shared" si="11"/>
        <v>46.028723680790222</v>
      </c>
      <c r="S231" s="2" t="str">
        <f t="shared" si="9"/>
        <v>Success</v>
      </c>
    </row>
    <row r="232" spans="1:19" x14ac:dyDescent="0.3">
      <c r="A232" t="s">
        <v>297</v>
      </c>
      <c r="B232" s="1">
        <v>41448</v>
      </c>
      <c r="C232">
        <v>2013</v>
      </c>
      <c r="D232" s="2" t="s">
        <v>25</v>
      </c>
      <c r="E232" s="2" t="s">
        <v>69</v>
      </c>
      <c r="F232" s="2" t="s">
        <v>33</v>
      </c>
      <c r="G232" t="s">
        <v>27</v>
      </c>
      <c r="H232" s="3">
        <v>33.35</v>
      </c>
      <c r="I232" s="3">
        <v>150.69999999999999</v>
      </c>
      <c r="J232" s="3">
        <v>4518.62</v>
      </c>
      <c r="K232" s="1" t="s">
        <v>21</v>
      </c>
      <c r="L232" s="2" t="s">
        <v>29</v>
      </c>
      <c r="M232" s="3">
        <v>127.54</v>
      </c>
      <c r="N232" s="3">
        <v>637.49</v>
      </c>
      <c r="O232" s="2" t="s">
        <v>42</v>
      </c>
      <c r="P232" s="3">
        <v>20.87</v>
      </c>
      <c r="Q232" t="str">
        <f t="shared" si="10"/>
        <v>2013-06</v>
      </c>
      <c r="R232" s="3">
        <f t="shared" si="11"/>
        <v>135.49085457271363</v>
      </c>
      <c r="S232" s="2" t="str">
        <f t="shared" si="9"/>
        <v>Success</v>
      </c>
    </row>
    <row r="233" spans="1:19" x14ac:dyDescent="0.3">
      <c r="A233" t="s">
        <v>298</v>
      </c>
      <c r="B233" s="1">
        <v>43616</v>
      </c>
      <c r="C233">
        <v>2019</v>
      </c>
      <c r="D233" s="2" t="s">
        <v>25</v>
      </c>
      <c r="E233" s="2" t="s">
        <v>87</v>
      </c>
      <c r="F233" s="2" t="s">
        <v>19</v>
      </c>
      <c r="G233" t="s">
        <v>64</v>
      </c>
      <c r="H233" s="3">
        <v>31.62</v>
      </c>
      <c r="I233" s="3">
        <v>172.33</v>
      </c>
      <c r="J233" s="3">
        <v>5450.16</v>
      </c>
      <c r="K233" s="1" t="s">
        <v>40</v>
      </c>
      <c r="L233" s="2" t="s">
        <v>49</v>
      </c>
      <c r="M233" s="3">
        <v>79.86</v>
      </c>
      <c r="N233" s="3">
        <v>907.9</v>
      </c>
      <c r="O233" s="2" t="s">
        <v>23</v>
      </c>
      <c r="P233" s="3">
        <v>22.46</v>
      </c>
      <c r="Q233" t="str">
        <f t="shared" si="10"/>
        <v>2019-05</v>
      </c>
      <c r="R233" s="3">
        <f t="shared" si="11"/>
        <v>172.36432637571156</v>
      </c>
      <c r="S233" s="2" t="str">
        <f t="shared" si="9"/>
        <v>Success</v>
      </c>
    </row>
    <row r="234" spans="1:19" x14ac:dyDescent="0.3">
      <c r="A234" t="s">
        <v>299</v>
      </c>
      <c r="B234" s="1">
        <v>44679</v>
      </c>
      <c r="C234">
        <v>2022</v>
      </c>
      <c r="D234" s="2" t="s">
        <v>59</v>
      </c>
      <c r="E234" s="2" t="s">
        <v>93</v>
      </c>
      <c r="F234" s="2" t="s">
        <v>19</v>
      </c>
      <c r="G234" t="s">
        <v>20</v>
      </c>
      <c r="H234" s="3">
        <v>17.53</v>
      </c>
      <c r="I234" s="3">
        <v>30.88</v>
      </c>
      <c r="J234" s="3">
        <v>1761.58</v>
      </c>
      <c r="K234" s="1" t="s">
        <v>34</v>
      </c>
      <c r="L234" s="2" t="s">
        <v>49</v>
      </c>
      <c r="M234" s="3">
        <v>233.23</v>
      </c>
      <c r="N234" s="3">
        <v>318.06</v>
      </c>
      <c r="O234" s="2" t="s">
        <v>23</v>
      </c>
      <c r="P234" s="3">
        <v>25.03</v>
      </c>
      <c r="Q234" t="str">
        <f t="shared" si="10"/>
        <v>2022-04</v>
      </c>
      <c r="R234" s="3">
        <f t="shared" si="11"/>
        <v>100.48944666286366</v>
      </c>
      <c r="S234" s="2" t="str">
        <f t="shared" si="9"/>
        <v>Success</v>
      </c>
    </row>
    <row r="235" spans="1:19" x14ac:dyDescent="0.3">
      <c r="A235" t="s">
        <v>300</v>
      </c>
      <c r="B235" s="1">
        <v>41746</v>
      </c>
      <c r="C235">
        <v>2014</v>
      </c>
      <c r="D235" s="2" t="s">
        <v>59</v>
      </c>
      <c r="E235" s="2" t="s">
        <v>60</v>
      </c>
      <c r="F235" s="2" t="s">
        <v>19</v>
      </c>
      <c r="G235" t="s">
        <v>27</v>
      </c>
      <c r="H235" s="3">
        <v>63.13</v>
      </c>
      <c r="I235" s="3">
        <v>251.06</v>
      </c>
      <c r="J235" s="3">
        <v>3976.89</v>
      </c>
      <c r="K235" s="1" t="s">
        <v>34</v>
      </c>
      <c r="L235" s="2" t="s">
        <v>22</v>
      </c>
      <c r="M235" s="3">
        <v>63.86</v>
      </c>
      <c r="N235" s="3">
        <v>1059.3599999999999</v>
      </c>
      <c r="O235" s="2" t="s">
        <v>42</v>
      </c>
      <c r="P235" s="3">
        <v>25.52</v>
      </c>
      <c r="Q235" t="str">
        <f t="shared" si="10"/>
        <v>2014-04</v>
      </c>
      <c r="R235" s="3">
        <f t="shared" si="11"/>
        <v>62.99524790115634</v>
      </c>
      <c r="S235" s="2" t="str">
        <f t="shared" si="9"/>
        <v>Success</v>
      </c>
    </row>
    <row r="236" spans="1:19" x14ac:dyDescent="0.3">
      <c r="A236" t="s">
        <v>301</v>
      </c>
      <c r="B236" s="1">
        <v>44393</v>
      </c>
      <c r="C236">
        <v>2021</v>
      </c>
      <c r="D236" s="2" t="s">
        <v>59</v>
      </c>
      <c r="E236" s="2" t="s">
        <v>93</v>
      </c>
      <c r="F236" s="2" t="s">
        <v>33</v>
      </c>
      <c r="G236" t="s">
        <v>56</v>
      </c>
      <c r="H236" s="3">
        <v>74.34</v>
      </c>
      <c r="I236" s="3">
        <v>75.489999999999995</v>
      </c>
      <c r="J236" s="3">
        <v>1015.41</v>
      </c>
      <c r="K236" s="1" t="s">
        <v>21</v>
      </c>
      <c r="L236" s="2" t="s">
        <v>22</v>
      </c>
      <c r="M236" s="3">
        <v>111.14</v>
      </c>
      <c r="N236" s="3">
        <v>671.76</v>
      </c>
      <c r="O236" s="2" t="s">
        <v>52</v>
      </c>
      <c r="P236" s="3">
        <v>33.799999999999997</v>
      </c>
      <c r="Q236" t="str">
        <f t="shared" si="10"/>
        <v>2021-07</v>
      </c>
      <c r="R236" s="3">
        <f t="shared" si="11"/>
        <v>13.658999192897497</v>
      </c>
      <c r="S236" s="2" t="str">
        <f t="shared" si="9"/>
        <v>Success</v>
      </c>
    </row>
    <row r="237" spans="1:19" x14ac:dyDescent="0.3">
      <c r="A237" t="s">
        <v>302</v>
      </c>
      <c r="B237" s="1">
        <v>44330</v>
      </c>
      <c r="C237">
        <v>2021</v>
      </c>
      <c r="D237" s="2" t="s">
        <v>59</v>
      </c>
      <c r="E237" s="2" t="s">
        <v>93</v>
      </c>
      <c r="F237" s="2" t="s">
        <v>19</v>
      </c>
      <c r="G237" t="s">
        <v>46</v>
      </c>
      <c r="H237" s="3">
        <v>23.23</v>
      </c>
      <c r="I237" s="3">
        <v>57.83</v>
      </c>
      <c r="J237" s="3">
        <v>2489.58</v>
      </c>
      <c r="K237" s="1" t="s">
        <v>34</v>
      </c>
      <c r="L237" s="2" t="s">
        <v>22</v>
      </c>
      <c r="M237" s="3">
        <v>117.81</v>
      </c>
      <c r="N237" s="3">
        <v>277.89</v>
      </c>
      <c r="O237" s="2" t="s">
        <v>70</v>
      </c>
      <c r="P237" s="3">
        <v>21.79</v>
      </c>
      <c r="Q237" t="str">
        <f t="shared" si="10"/>
        <v>2021-05</v>
      </c>
      <c r="R237" s="3">
        <f t="shared" si="11"/>
        <v>107.17089969866551</v>
      </c>
      <c r="S237" s="2" t="str">
        <f t="shared" si="9"/>
        <v>Success</v>
      </c>
    </row>
    <row r="238" spans="1:19" x14ac:dyDescent="0.3">
      <c r="A238" t="s">
        <v>303</v>
      </c>
      <c r="B238" s="1">
        <v>44687</v>
      </c>
      <c r="C238">
        <v>2022</v>
      </c>
      <c r="D238" s="2" t="s">
        <v>103</v>
      </c>
      <c r="E238" s="2" t="s">
        <v>104</v>
      </c>
      <c r="F238" s="2" t="s">
        <v>19</v>
      </c>
      <c r="G238" t="s">
        <v>64</v>
      </c>
      <c r="H238" s="3">
        <v>95.45</v>
      </c>
      <c r="I238" s="3">
        <v>134.91999999999999</v>
      </c>
      <c r="J238" s="3">
        <v>1413.56</v>
      </c>
      <c r="K238" s="1" t="s">
        <v>28</v>
      </c>
      <c r="L238" s="2" t="s">
        <v>29</v>
      </c>
      <c r="M238" s="3">
        <v>266.51</v>
      </c>
      <c r="N238" s="3">
        <v>973.53</v>
      </c>
      <c r="O238" s="2" t="s">
        <v>70</v>
      </c>
      <c r="P238" s="3">
        <v>24.91</v>
      </c>
      <c r="Q238" t="str">
        <f t="shared" si="10"/>
        <v>2022-05</v>
      </c>
      <c r="R238" s="3">
        <f t="shared" si="11"/>
        <v>14.809429020429544</v>
      </c>
      <c r="S238" s="2" t="str">
        <f t="shared" si="9"/>
        <v>Success</v>
      </c>
    </row>
    <row r="239" spans="1:19" x14ac:dyDescent="0.3">
      <c r="A239" t="s">
        <v>304</v>
      </c>
      <c r="B239" s="1">
        <v>41629</v>
      </c>
      <c r="C239">
        <v>2013</v>
      </c>
      <c r="D239" s="2" t="s">
        <v>25</v>
      </c>
      <c r="E239" s="2" t="s">
        <v>87</v>
      </c>
      <c r="F239" s="2" t="s">
        <v>38</v>
      </c>
      <c r="G239" t="s">
        <v>27</v>
      </c>
      <c r="H239" s="3">
        <v>78.67</v>
      </c>
      <c r="I239" s="3">
        <v>427.76</v>
      </c>
      <c r="J239" s="3">
        <v>5437.46</v>
      </c>
      <c r="K239" s="1" t="s">
        <v>40</v>
      </c>
      <c r="L239" s="2" t="s">
        <v>47</v>
      </c>
      <c r="M239" s="3">
        <v>165.98</v>
      </c>
      <c r="N239" s="3">
        <v>791.69</v>
      </c>
      <c r="O239" s="2" t="s">
        <v>52</v>
      </c>
      <c r="P239" s="3">
        <v>34.97</v>
      </c>
      <c r="Q239" t="str">
        <f t="shared" si="10"/>
        <v>2013-12</v>
      </c>
      <c r="R239" s="3">
        <f t="shared" si="11"/>
        <v>69.117325537053517</v>
      </c>
      <c r="S239" s="2" t="str">
        <f t="shared" si="9"/>
        <v>Success</v>
      </c>
    </row>
    <row r="240" spans="1:19" x14ac:dyDescent="0.3">
      <c r="A240" t="s">
        <v>305</v>
      </c>
      <c r="B240" s="1">
        <v>41139</v>
      </c>
      <c r="C240">
        <v>2012</v>
      </c>
      <c r="D240" s="2" t="s">
        <v>44</v>
      </c>
      <c r="E240" s="2" t="s">
        <v>45</v>
      </c>
      <c r="F240" s="2" t="s">
        <v>33</v>
      </c>
      <c r="G240" t="s">
        <v>46</v>
      </c>
      <c r="H240" s="3">
        <v>3.37</v>
      </c>
      <c r="I240" s="3">
        <v>14.32</v>
      </c>
      <c r="J240" s="3">
        <v>4249.2700000000004</v>
      </c>
      <c r="K240" s="1" t="s">
        <v>21</v>
      </c>
      <c r="L240" s="2" t="s">
        <v>22</v>
      </c>
      <c r="M240" s="3">
        <v>287.75</v>
      </c>
      <c r="N240" s="3">
        <v>201.46</v>
      </c>
      <c r="O240" s="2" t="s">
        <v>52</v>
      </c>
      <c r="P240" s="3">
        <v>32.74</v>
      </c>
      <c r="Q240" t="str">
        <f t="shared" si="10"/>
        <v>2012-08</v>
      </c>
      <c r="R240" s="3">
        <f t="shared" si="11"/>
        <v>1260.9109792284867</v>
      </c>
      <c r="S240" s="2" t="str">
        <f t="shared" si="9"/>
        <v>Success</v>
      </c>
    </row>
    <row r="241" spans="1:19" x14ac:dyDescent="0.3">
      <c r="A241" t="s">
        <v>306</v>
      </c>
      <c r="B241" s="1">
        <v>41712</v>
      </c>
      <c r="C241">
        <v>2013</v>
      </c>
      <c r="D241" s="2" t="s">
        <v>103</v>
      </c>
      <c r="E241" s="2" t="s">
        <v>228</v>
      </c>
      <c r="F241" s="2" t="s">
        <v>38</v>
      </c>
      <c r="G241" t="s">
        <v>46</v>
      </c>
      <c r="H241" s="3">
        <v>96.16</v>
      </c>
      <c r="I241" s="3">
        <v>657.29</v>
      </c>
      <c r="J241" s="3">
        <v>6835.36</v>
      </c>
      <c r="K241" s="1" t="s">
        <v>40</v>
      </c>
      <c r="L241" s="2" t="s">
        <v>29</v>
      </c>
      <c r="M241" s="3">
        <v>227.91</v>
      </c>
      <c r="N241" s="3">
        <v>293.02999999999997</v>
      </c>
      <c r="O241" s="2" t="s">
        <v>42</v>
      </c>
      <c r="P241" s="3">
        <v>33.46</v>
      </c>
      <c r="Q241" t="str">
        <f t="shared" si="10"/>
        <v>2014-03</v>
      </c>
      <c r="R241" s="3">
        <f t="shared" si="11"/>
        <v>71.083194675540767</v>
      </c>
      <c r="S241" s="2" t="str">
        <f t="shared" si="9"/>
        <v>Success</v>
      </c>
    </row>
    <row r="242" spans="1:19" x14ac:dyDescent="0.3">
      <c r="A242" t="s">
        <v>307</v>
      </c>
      <c r="B242" s="1">
        <v>42834</v>
      </c>
      <c r="C242">
        <v>2017</v>
      </c>
      <c r="D242" s="2" t="s">
        <v>17</v>
      </c>
      <c r="E242" s="2" t="s">
        <v>72</v>
      </c>
      <c r="F242" s="2" t="s">
        <v>19</v>
      </c>
      <c r="G242" t="s">
        <v>64</v>
      </c>
      <c r="H242" s="3">
        <v>58.5</v>
      </c>
      <c r="I242" s="3">
        <v>235.91</v>
      </c>
      <c r="J242" s="3">
        <v>4032.57</v>
      </c>
      <c r="K242" s="1" t="s">
        <v>28</v>
      </c>
      <c r="L242" s="2" t="s">
        <v>41</v>
      </c>
      <c r="M242" s="3">
        <v>68.709999999999994</v>
      </c>
      <c r="N242" s="3">
        <v>767.82</v>
      </c>
      <c r="O242" s="2" t="s">
        <v>52</v>
      </c>
      <c r="P242" s="3">
        <v>29.94</v>
      </c>
      <c r="Q242" t="str">
        <f t="shared" si="10"/>
        <v>2017-04</v>
      </c>
      <c r="R242" s="3">
        <f t="shared" si="11"/>
        <v>68.932820512820513</v>
      </c>
      <c r="S242" s="2" t="str">
        <f t="shared" si="9"/>
        <v>Success</v>
      </c>
    </row>
    <row r="243" spans="1:19" x14ac:dyDescent="0.3">
      <c r="A243" t="s">
        <v>308</v>
      </c>
      <c r="B243" s="1">
        <v>42458</v>
      </c>
      <c r="C243">
        <v>2015</v>
      </c>
      <c r="D243" s="2" t="s">
        <v>31</v>
      </c>
      <c r="E243" s="2" t="s">
        <v>32</v>
      </c>
      <c r="F243" s="2" t="s">
        <v>38</v>
      </c>
      <c r="G243" t="s">
        <v>39</v>
      </c>
      <c r="H243" s="3">
        <v>83.36</v>
      </c>
      <c r="I243" s="3">
        <v>246.54</v>
      </c>
      <c r="J243" s="3">
        <v>2957.51</v>
      </c>
      <c r="K243" s="1" t="s">
        <v>28</v>
      </c>
      <c r="L243" s="2" t="s">
        <v>22</v>
      </c>
      <c r="M243" s="3">
        <v>117.99</v>
      </c>
      <c r="N243" s="3">
        <v>274.69</v>
      </c>
      <c r="O243" s="2" t="s">
        <v>42</v>
      </c>
      <c r="P243" s="3">
        <v>22.04</v>
      </c>
      <c r="Q243" t="str">
        <f t="shared" si="10"/>
        <v>2016-03</v>
      </c>
      <c r="R243" s="3">
        <f t="shared" si="11"/>
        <v>35.47876679462572</v>
      </c>
      <c r="S243" s="2" t="str">
        <f t="shared" si="9"/>
        <v>Success</v>
      </c>
    </row>
    <row r="244" spans="1:19" x14ac:dyDescent="0.3">
      <c r="A244" t="s">
        <v>309</v>
      </c>
      <c r="B244" s="1">
        <v>41244</v>
      </c>
      <c r="C244">
        <v>2012</v>
      </c>
      <c r="D244" s="2" t="s">
        <v>103</v>
      </c>
      <c r="E244" s="2" t="s">
        <v>104</v>
      </c>
      <c r="F244" s="2" t="s">
        <v>38</v>
      </c>
      <c r="G244" t="s">
        <v>46</v>
      </c>
      <c r="H244" s="3">
        <v>32.090000000000003</v>
      </c>
      <c r="I244" s="3">
        <v>55.34</v>
      </c>
      <c r="J244" s="3">
        <v>1724.42</v>
      </c>
      <c r="K244" s="1" t="s">
        <v>34</v>
      </c>
      <c r="L244" s="2" t="s">
        <v>22</v>
      </c>
      <c r="M244" s="3">
        <v>291.16000000000003</v>
      </c>
      <c r="N244" s="3">
        <v>407.64</v>
      </c>
      <c r="O244" s="2" t="s">
        <v>70</v>
      </c>
      <c r="P244" s="3">
        <v>26.95</v>
      </c>
      <c r="Q244" t="str">
        <f t="shared" si="10"/>
        <v>2012-12</v>
      </c>
      <c r="R244" s="3">
        <f t="shared" si="11"/>
        <v>53.736989716422556</v>
      </c>
      <c r="S244" s="2" t="str">
        <f t="shared" si="9"/>
        <v>Success</v>
      </c>
    </row>
    <row r="245" spans="1:19" x14ac:dyDescent="0.3">
      <c r="A245" t="s">
        <v>310</v>
      </c>
      <c r="B245" s="1">
        <v>41733</v>
      </c>
      <c r="C245">
        <v>2014</v>
      </c>
      <c r="D245" s="2" t="s">
        <v>103</v>
      </c>
      <c r="E245" s="2" t="s">
        <v>228</v>
      </c>
      <c r="F245" s="2" t="s">
        <v>19</v>
      </c>
      <c r="G245" t="s">
        <v>39</v>
      </c>
      <c r="H245" s="3">
        <v>60.73</v>
      </c>
      <c r="I245" s="3">
        <v>139.08000000000001</v>
      </c>
      <c r="J245" s="3">
        <v>2290.12</v>
      </c>
      <c r="K245" s="1" t="s">
        <v>34</v>
      </c>
      <c r="L245" s="2" t="s">
        <v>49</v>
      </c>
      <c r="M245" s="3">
        <v>87.08</v>
      </c>
      <c r="N245" s="3">
        <v>911.16</v>
      </c>
      <c r="O245" s="2" t="s">
        <v>70</v>
      </c>
      <c r="P245" s="3">
        <v>25.94</v>
      </c>
      <c r="Q245" t="str">
        <f t="shared" si="10"/>
        <v>2014-04</v>
      </c>
      <c r="R245" s="3">
        <f t="shared" si="11"/>
        <v>37.709863329491192</v>
      </c>
      <c r="S245" s="2" t="str">
        <f t="shared" si="9"/>
        <v>Success</v>
      </c>
    </row>
    <row r="246" spans="1:19" x14ac:dyDescent="0.3">
      <c r="A246" t="s">
        <v>311</v>
      </c>
      <c r="B246" s="1">
        <v>40498</v>
      </c>
      <c r="C246">
        <v>2010</v>
      </c>
      <c r="D246" s="2" t="s">
        <v>31</v>
      </c>
      <c r="E246" s="2" t="s">
        <v>82</v>
      </c>
      <c r="F246" s="2" t="s">
        <v>38</v>
      </c>
      <c r="G246" t="s">
        <v>46</v>
      </c>
      <c r="H246" s="3">
        <v>56.04</v>
      </c>
      <c r="I246" s="3">
        <v>241.01</v>
      </c>
      <c r="J246" s="3">
        <v>4300.7299999999996</v>
      </c>
      <c r="K246" s="1" t="s">
        <v>21</v>
      </c>
      <c r="L246" s="2" t="s">
        <v>41</v>
      </c>
      <c r="M246" s="3">
        <v>165.51</v>
      </c>
      <c r="N246" s="3">
        <v>1003.9</v>
      </c>
      <c r="O246" s="2" t="s">
        <v>42</v>
      </c>
      <c r="P246" s="3">
        <v>21.82</v>
      </c>
      <c r="Q246" t="str">
        <f t="shared" si="10"/>
        <v>2010-11</v>
      </c>
      <c r="R246" s="3">
        <f t="shared" si="11"/>
        <v>76.743932905067808</v>
      </c>
      <c r="S246" s="2" t="str">
        <f t="shared" si="9"/>
        <v>Success</v>
      </c>
    </row>
    <row r="247" spans="1:19" x14ac:dyDescent="0.3">
      <c r="A247" t="s">
        <v>312</v>
      </c>
      <c r="B247" s="1">
        <v>42788</v>
      </c>
      <c r="C247">
        <v>2016</v>
      </c>
      <c r="D247" s="2" t="s">
        <v>103</v>
      </c>
      <c r="E247" s="2" t="s">
        <v>104</v>
      </c>
      <c r="F247" s="2" t="s">
        <v>38</v>
      </c>
      <c r="G247" t="s">
        <v>39</v>
      </c>
      <c r="H247" s="3">
        <v>63.4</v>
      </c>
      <c r="I247" s="3">
        <v>308.64</v>
      </c>
      <c r="J247" s="3">
        <v>4868.1099999999997</v>
      </c>
      <c r="K247" s="1" t="s">
        <v>34</v>
      </c>
      <c r="L247" s="2" t="s">
        <v>41</v>
      </c>
      <c r="M247" s="3">
        <v>279.36</v>
      </c>
      <c r="N247" s="3">
        <v>274.99</v>
      </c>
      <c r="O247" s="2" t="s">
        <v>23</v>
      </c>
      <c r="P247" s="3">
        <v>22.97</v>
      </c>
      <c r="Q247" t="str">
        <f t="shared" si="10"/>
        <v>2017-02</v>
      </c>
      <c r="R247" s="3">
        <f t="shared" si="11"/>
        <v>76.784069400630912</v>
      </c>
      <c r="S247" s="2" t="str">
        <f t="shared" si="9"/>
        <v>Success</v>
      </c>
    </row>
    <row r="248" spans="1:19" x14ac:dyDescent="0.3">
      <c r="A248" t="s">
        <v>313</v>
      </c>
      <c r="B248" s="1">
        <v>40804</v>
      </c>
      <c r="C248">
        <v>2011</v>
      </c>
      <c r="D248" s="2" t="s">
        <v>25</v>
      </c>
      <c r="E248" s="2" t="s">
        <v>87</v>
      </c>
      <c r="F248" s="2" t="s">
        <v>33</v>
      </c>
      <c r="G248" t="s">
        <v>46</v>
      </c>
      <c r="H248" s="3">
        <v>6.01</v>
      </c>
      <c r="I248" s="3">
        <v>39.33</v>
      </c>
      <c r="J248" s="3">
        <v>6544.79</v>
      </c>
      <c r="K248" s="1" t="s">
        <v>28</v>
      </c>
      <c r="L248" s="2" t="s">
        <v>41</v>
      </c>
      <c r="M248" s="3">
        <v>255.42</v>
      </c>
      <c r="N248" s="3">
        <v>595</v>
      </c>
      <c r="O248" s="2" t="s">
        <v>23</v>
      </c>
      <c r="P248" s="3">
        <v>25.74</v>
      </c>
      <c r="Q248" t="str">
        <f t="shared" si="10"/>
        <v>2011-09</v>
      </c>
      <c r="R248" s="3">
        <f t="shared" si="11"/>
        <v>1088.9833610648918</v>
      </c>
      <c r="S248" s="2" t="str">
        <f t="shared" si="9"/>
        <v>Success</v>
      </c>
    </row>
    <row r="249" spans="1:19" x14ac:dyDescent="0.3">
      <c r="A249" t="s">
        <v>314</v>
      </c>
      <c r="B249" s="1">
        <v>41236</v>
      </c>
      <c r="C249">
        <v>2012</v>
      </c>
      <c r="D249" s="2" t="s">
        <v>31</v>
      </c>
      <c r="E249" s="2" t="s">
        <v>82</v>
      </c>
      <c r="F249" s="2" t="s">
        <v>38</v>
      </c>
      <c r="G249" t="s">
        <v>20</v>
      </c>
      <c r="H249" s="3">
        <v>45.16</v>
      </c>
      <c r="I249" s="3">
        <v>85.43</v>
      </c>
      <c r="J249" s="3">
        <v>1891.79</v>
      </c>
      <c r="K249" s="1" t="s">
        <v>40</v>
      </c>
      <c r="L249" s="2" t="s">
        <v>49</v>
      </c>
      <c r="M249" s="3">
        <v>211.82</v>
      </c>
      <c r="N249" s="3">
        <v>698.89</v>
      </c>
      <c r="O249" s="2" t="s">
        <v>61</v>
      </c>
      <c r="P249" s="3">
        <v>27.19</v>
      </c>
      <c r="Q249" t="str">
        <f t="shared" si="10"/>
        <v>2012-11</v>
      </c>
      <c r="R249" s="3">
        <f t="shared" si="11"/>
        <v>41.890832595217006</v>
      </c>
      <c r="S249" s="2" t="str">
        <f t="shared" si="9"/>
        <v>Success</v>
      </c>
    </row>
    <row r="250" spans="1:19" x14ac:dyDescent="0.3">
      <c r="A250" t="s">
        <v>315</v>
      </c>
      <c r="B250" s="1">
        <v>42646</v>
      </c>
      <c r="C250">
        <v>2016</v>
      </c>
      <c r="D250" s="2" t="s">
        <v>36</v>
      </c>
      <c r="E250" s="2" t="s">
        <v>37</v>
      </c>
      <c r="F250" s="2" t="s">
        <v>33</v>
      </c>
      <c r="G250" t="s">
        <v>39</v>
      </c>
      <c r="H250" s="3">
        <v>88.58</v>
      </c>
      <c r="I250" s="3">
        <v>368.04</v>
      </c>
      <c r="J250" s="3">
        <v>4154.88</v>
      </c>
      <c r="K250" s="1" t="s">
        <v>21</v>
      </c>
      <c r="L250" s="2" t="s">
        <v>49</v>
      </c>
      <c r="M250" s="3">
        <v>297.35000000000002</v>
      </c>
      <c r="N250" s="3">
        <v>981.92</v>
      </c>
      <c r="O250" s="2" t="s">
        <v>70</v>
      </c>
      <c r="P250" s="3">
        <v>27.2</v>
      </c>
      <c r="Q250" t="str">
        <f t="shared" si="10"/>
        <v>2016-10</v>
      </c>
      <c r="R250" s="3">
        <f t="shared" si="11"/>
        <v>46.905396251975617</v>
      </c>
      <c r="S250" s="2" t="str">
        <f t="shared" si="9"/>
        <v>Success</v>
      </c>
    </row>
    <row r="251" spans="1:19" x14ac:dyDescent="0.3">
      <c r="A251" t="s">
        <v>316</v>
      </c>
      <c r="B251" s="1">
        <v>42429</v>
      </c>
      <c r="C251">
        <v>2015</v>
      </c>
      <c r="D251" s="2" t="s">
        <v>59</v>
      </c>
      <c r="E251" s="2" t="s">
        <v>93</v>
      </c>
      <c r="F251" s="2" t="s">
        <v>38</v>
      </c>
      <c r="G251" t="s">
        <v>20</v>
      </c>
      <c r="H251" s="3">
        <v>18.8</v>
      </c>
      <c r="I251" s="3">
        <v>54.77</v>
      </c>
      <c r="J251" s="3">
        <v>2913.27</v>
      </c>
      <c r="K251" s="1" t="s">
        <v>40</v>
      </c>
      <c r="L251" s="2" t="s">
        <v>47</v>
      </c>
      <c r="M251" s="3">
        <v>57.33</v>
      </c>
      <c r="N251" s="3">
        <v>1010.69</v>
      </c>
      <c r="O251" s="2" t="s">
        <v>70</v>
      </c>
      <c r="P251" s="3">
        <v>20.88</v>
      </c>
      <c r="Q251" t="str">
        <f t="shared" si="10"/>
        <v>2016-02</v>
      </c>
      <c r="R251" s="3">
        <f t="shared" si="11"/>
        <v>154.96117021276595</v>
      </c>
      <c r="S251" s="2" t="str">
        <f t="shared" si="9"/>
        <v>Success</v>
      </c>
    </row>
    <row r="252" spans="1:19" x14ac:dyDescent="0.3">
      <c r="A252" t="s">
        <v>317</v>
      </c>
      <c r="B252" s="1">
        <v>41525</v>
      </c>
      <c r="C252">
        <v>2013</v>
      </c>
      <c r="D252" s="2" t="s">
        <v>31</v>
      </c>
      <c r="E252" s="2" t="s">
        <v>117</v>
      </c>
      <c r="F252" s="2" t="s">
        <v>33</v>
      </c>
      <c r="G252" t="s">
        <v>64</v>
      </c>
      <c r="H252" s="3">
        <v>25.54</v>
      </c>
      <c r="I252" s="3">
        <v>62.49</v>
      </c>
      <c r="J252" s="3">
        <v>2446.92</v>
      </c>
      <c r="K252" s="1" t="s">
        <v>21</v>
      </c>
      <c r="L252" s="2" t="s">
        <v>49</v>
      </c>
      <c r="M252" s="3">
        <v>241.01</v>
      </c>
      <c r="N252" s="3">
        <v>1147.8</v>
      </c>
      <c r="O252" s="2" t="s">
        <v>61</v>
      </c>
      <c r="P252" s="3">
        <v>32.700000000000003</v>
      </c>
      <c r="Q252" t="str">
        <f t="shared" si="10"/>
        <v>2013-09</v>
      </c>
      <c r="R252" s="3">
        <f t="shared" si="11"/>
        <v>95.807361002349268</v>
      </c>
      <c r="S252" s="2" t="str">
        <f t="shared" si="9"/>
        <v>Success</v>
      </c>
    </row>
    <row r="253" spans="1:19" x14ac:dyDescent="0.3">
      <c r="A253" t="s">
        <v>318</v>
      </c>
      <c r="B253" s="1">
        <v>41205</v>
      </c>
      <c r="C253">
        <v>2012</v>
      </c>
      <c r="D253" s="2" t="s">
        <v>44</v>
      </c>
      <c r="E253" s="2" t="s">
        <v>45</v>
      </c>
      <c r="F253" s="2" t="s">
        <v>33</v>
      </c>
      <c r="G253" t="s">
        <v>27</v>
      </c>
      <c r="H253" s="3">
        <v>32.479999999999997</v>
      </c>
      <c r="I253" s="3">
        <v>176.32</v>
      </c>
      <c r="J253" s="3">
        <v>5428.63</v>
      </c>
      <c r="K253" s="1" t="s">
        <v>34</v>
      </c>
      <c r="L253" s="2" t="s">
        <v>41</v>
      </c>
      <c r="M253" s="3">
        <v>278.5</v>
      </c>
      <c r="N253" s="3">
        <v>228.21</v>
      </c>
      <c r="O253" s="2" t="s">
        <v>70</v>
      </c>
      <c r="P253" s="3">
        <v>34.21</v>
      </c>
      <c r="Q253" t="str">
        <f t="shared" si="10"/>
        <v>2012-10</v>
      </c>
      <c r="R253" s="3">
        <f t="shared" si="11"/>
        <v>167.13762315270938</v>
      </c>
      <c r="S253" s="2" t="str">
        <f t="shared" si="9"/>
        <v>Success</v>
      </c>
    </row>
    <row r="254" spans="1:19" x14ac:dyDescent="0.3">
      <c r="A254" t="s">
        <v>319</v>
      </c>
      <c r="B254" s="1">
        <v>44866</v>
      </c>
      <c r="C254">
        <v>2022</v>
      </c>
      <c r="D254" s="2" t="s">
        <v>59</v>
      </c>
      <c r="E254" s="2" t="s">
        <v>60</v>
      </c>
      <c r="F254" s="2" t="s">
        <v>38</v>
      </c>
      <c r="G254" t="s">
        <v>27</v>
      </c>
      <c r="H254" s="3">
        <v>31.6</v>
      </c>
      <c r="I254" s="3">
        <v>124.59</v>
      </c>
      <c r="J254" s="3">
        <v>3942.62</v>
      </c>
      <c r="K254" s="1" t="s">
        <v>21</v>
      </c>
      <c r="L254" s="2" t="s">
        <v>49</v>
      </c>
      <c r="M254" s="3">
        <v>64.040000000000006</v>
      </c>
      <c r="N254" s="3">
        <v>801.66</v>
      </c>
      <c r="O254" s="2" t="s">
        <v>23</v>
      </c>
      <c r="P254" s="3">
        <v>27.9</v>
      </c>
      <c r="Q254" t="str">
        <f t="shared" si="10"/>
        <v>2022-11</v>
      </c>
      <c r="R254" s="3">
        <f t="shared" si="11"/>
        <v>124.76645569620253</v>
      </c>
      <c r="S254" s="2" t="str">
        <f t="shared" si="9"/>
        <v>Success</v>
      </c>
    </row>
    <row r="255" spans="1:19" x14ac:dyDescent="0.3">
      <c r="A255" t="s">
        <v>320</v>
      </c>
      <c r="B255" s="1">
        <v>44847</v>
      </c>
      <c r="C255">
        <v>2022</v>
      </c>
      <c r="D255" s="2" t="s">
        <v>59</v>
      </c>
      <c r="E255" s="2" t="s">
        <v>60</v>
      </c>
      <c r="F255" s="2" t="s">
        <v>33</v>
      </c>
      <c r="G255" t="s">
        <v>20</v>
      </c>
      <c r="H255" s="3">
        <v>71.98</v>
      </c>
      <c r="I255" s="3">
        <v>468.78</v>
      </c>
      <c r="J255" s="3">
        <v>6512.68</v>
      </c>
      <c r="K255" s="1" t="s">
        <v>34</v>
      </c>
      <c r="L255" s="2" t="s">
        <v>49</v>
      </c>
      <c r="M255" s="3">
        <v>64.89</v>
      </c>
      <c r="N255" s="3">
        <v>347.71</v>
      </c>
      <c r="O255" s="2" t="s">
        <v>42</v>
      </c>
      <c r="P255" s="3">
        <v>31.62</v>
      </c>
      <c r="Q255" t="str">
        <f t="shared" si="10"/>
        <v>2022-10</v>
      </c>
      <c r="R255" s="3">
        <f t="shared" si="11"/>
        <v>90.479021950541821</v>
      </c>
      <c r="S255" s="2" t="str">
        <f t="shared" si="9"/>
        <v>Success</v>
      </c>
    </row>
    <row r="256" spans="1:19" x14ac:dyDescent="0.3">
      <c r="A256" t="s">
        <v>321</v>
      </c>
      <c r="B256" s="1">
        <v>44318</v>
      </c>
      <c r="C256">
        <v>2021</v>
      </c>
      <c r="D256" s="2" t="s">
        <v>25</v>
      </c>
      <c r="E256" s="2" t="s">
        <v>87</v>
      </c>
      <c r="F256" s="2" t="s">
        <v>19</v>
      </c>
      <c r="G256" t="s">
        <v>46</v>
      </c>
      <c r="H256" s="3">
        <v>59.02</v>
      </c>
      <c r="I256" s="3">
        <v>178.2</v>
      </c>
      <c r="J256" s="3">
        <v>3019.37</v>
      </c>
      <c r="K256" s="1" t="s">
        <v>34</v>
      </c>
      <c r="L256" s="2" t="s">
        <v>49</v>
      </c>
      <c r="M256" s="3">
        <v>84.11</v>
      </c>
      <c r="N256" s="3">
        <v>357.5</v>
      </c>
      <c r="O256" s="2" t="s">
        <v>52</v>
      </c>
      <c r="P256" s="3">
        <v>31.88</v>
      </c>
      <c r="Q256" t="str">
        <f t="shared" si="10"/>
        <v>2021-05</v>
      </c>
      <c r="R256" s="3">
        <f t="shared" si="11"/>
        <v>51.158420874279898</v>
      </c>
      <c r="S256" s="2" t="str">
        <f t="shared" si="9"/>
        <v>Success</v>
      </c>
    </row>
    <row r="257" spans="1:19" x14ac:dyDescent="0.3">
      <c r="A257" t="s">
        <v>322</v>
      </c>
      <c r="B257" s="1">
        <v>43237</v>
      </c>
      <c r="C257">
        <v>2018</v>
      </c>
      <c r="D257" s="2" t="s">
        <v>103</v>
      </c>
      <c r="E257" s="2" t="s">
        <v>228</v>
      </c>
      <c r="F257" s="2" t="s">
        <v>19</v>
      </c>
      <c r="G257" t="s">
        <v>27</v>
      </c>
      <c r="H257" s="3">
        <v>78.91</v>
      </c>
      <c r="I257" s="3">
        <v>184.6</v>
      </c>
      <c r="J257" s="3">
        <v>2339.42</v>
      </c>
      <c r="K257" s="1" t="s">
        <v>40</v>
      </c>
      <c r="L257" s="2" t="s">
        <v>22</v>
      </c>
      <c r="M257" s="3">
        <v>144.6</v>
      </c>
      <c r="N257" s="3">
        <v>933.99</v>
      </c>
      <c r="O257" s="2" t="s">
        <v>70</v>
      </c>
      <c r="P257" s="3">
        <v>21.91</v>
      </c>
      <c r="Q257" t="str">
        <f t="shared" si="10"/>
        <v>2018-05</v>
      </c>
      <c r="R257" s="3">
        <f t="shared" si="11"/>
        <v>29.64668609808643</v>
      </c>
      <c r="S257" s="2" t="str">
        <f t="shared" si="9"/>
        <v>Success</v>
      </c>
    </row>
    <row r="258" spans="1:19" x14ac:dyDescent="0.3">
      <c r="A258" t="s">
        <v>323</v>
      </c>
      <c r="B258" s="1">
        <v>42508</v>
      </c>
      <c r="C258">
        <v>2016</v>
      </c>
      <c r="D258" s="2" t="s">
        <v>17</v>
      </c>
      <c r="E258" s="2" t="s">
        <v>54</v>
      </c>
      <c r="F258" s="2" t="s">
        <v>19</v>
      </c>
      <c r="G258" t="s">
        <v>64</v>
      </c>
      <c r="H258" s="3">
        <v>19.03</v>
      </c>
      <c r="I258" s="3">
        <v>55.36</v>
      </c>
      <c r="J258" s="3">
        <v>2909.3</v>
      </c>
      <c r="K258" s="1" t="s">
        <v>40</v>
      </c>
      <c r="L258" s="2" t="s">
        <v>22</v>
      </c>
      <c r="M258" s="3">
        <v>209.91</v>
      </c>
      <c r="N258" s="3">
        <v>304.11</v>
      </c>
      <c r="O258" s="2" t="s">
        <v>52</v>
      </c>
      <c r="P258" s="3">
        <v>22.11</v>
      </c>
      <c r="Q258" t="str">
        <f t="shared" si="10"/>
        <v>2016-05</v>
      </c>
      <c r="R258" s="3">
        <f t="shared" si="11"/>
        <v>152.87966368891225</v>
      </c>
      <c r="S258" s="2" t="str">
        <f t="shared" ref="S258:S321" si="12">IF(R258&lt;=0, "Failure","Success")</f>
        <v>Success</v>
      </c>
    </row>
    <row r="259" spans="1:19" x14ac:dyDescent="0.3">
      <c r="A259" t="s">
        <v>324</v>
      </c>
      <c r="B259" s="1">
        <v>42245</v>
      </c>
      <c r="C259">
        <v>2015</v>
      </c>
      <c r="D259" s="2" t="s">
        <v>103</v>
      </c>
      <c r="E259" s="2" t="s">
        <v>107</v>
      </c>
      <c r="F259" s="2" t="s">
        <v>33</v>
      </c>
      <c r="G259" t="s">
        <v>39</v>
      </c>
      <c r="H259" s="3">
        <v>88.65</v>
      </c>
      <c r="I259" s="3">
        <v>135.84</v>
      </c>
      <c r="J259" s="3">
        <v>1532.36</v>
      </c>
      <c r="K259" s="1" t="s">
        <v>34</v>
      </c>
      <c r="L259" s="2" t="s">
        <v>49</v>
      </c>
      <c r="M259" s="3">
        <v>161.66</v>
      </c>
      <c r="N259" s="3">
        <v>465.21</v>
      </c>
      <c r="O259" s="2" t="s">
        <v>42</v>
      </c>
      <c r="P259" s="3">
        <v>30.4</v>
      </c>
      <c r="Q259" t="str">
        <f t="shared" ref="Q259:Q322" si="13">TEXT(B259,"yyyy-mm")</f>
        <v>2015-08</v>
      </c>
      <c r="R259" s="3">
        <f t="shared" ref="R259:R322" si="14">J259/H259</f>
        <v>17.285504794134233</v>
      </c>
      <c r="S259" s="2" t="str">
        <f t="shared" si="12"/>
        <v>Success</v>
      </c>
    </row>
    <row r="260" spans="1:19" x14ac:dyDescent="0.3">
      <c r="A260" t="s">
        <v>325</v>
      </c>
      <c r="B260" s="1">
        <v>44444</v>
      </c>
      <c r="C260">
        <v>2021</v>
      </c>
      <c r="D260" s="2" t="s">
        <v>44</v>
      </c>
      <c r="E260" s="2" t="s">
        <v>45</v>
      </c>
      <c r="F260" s="2" t="s">
        <v>33</v>
      </c>
      <c r="G260" t="s">
        <v>64</v>
      </c>
      <c r="H260" s="3">
        <v>39.21</v>
      </c>
      <c r="I260" s="3">
        <v>211.56</v>
      </c>
      <c r="J260" s="3">
        <v>5395.51</v>
      </c>
      <c r="K260" s="1" t="s">
        <v>40</v>
      </c>
      <c r="L260" s="2" t="s">
        <v>22</v>
      </c>
      <c r="M260" s="3">
        <v>271.14</v>
      </c>
      <c r="N260" s="3">
        <v>693.08</v>
      </c>
      <c r="O260" s="2" t="s">
        <v>52</v>
      </c>
      <c r="P260" s="3">
        <v>25.27</v>
      </c>
      <c r="Q260" t="str">
        <f t="shared" si="13"/>
        <v>2021-09</v>
      </c>
      <c r="R260" s="3">
        <f t="shared" si="14"/>
        <v>137.60545779137976</v>
      </c>
      <c r="S260" s="2" t="str">
        <f t="shared" si="12"/>
        <v>Success</v>
      </c>
    </row>
    <row r="261" spans="1:19" x14ac:dyDescent="0.3">
      <c r="A261" t="s">
        <v>326</v>
      </c>
      <c r="B261" s="1">
        <v>44668</v>
      </c>
      <c r="C261">
        <v>2022</v>
      </c>
      <c r="D261" s="2" t="s">
        <v>44</v>
      </c>
      <c r="E261" s="2" t="s">
        <v>99</v>
      </c>
      <c r="F261" s="2" t="s">
        <v>19</v>
      </c>
      <c r="G261" t="s">
        <v>39</v>
      </c>
      <c r="H261" s="3">
        <v>76.069999999999993</v>
      </c>
      <c r="I261" s="3">
        <v>179.03</v>
      </c>
      <c r="J261" s="3">
        <v>2353.5</v>
      </c>
      <c r="K261" s="1" t="s">
        <v>28</v>
      </c>
      <c r="L261" s="2" t="s">
        <v>22</v>
      </c>
      <c r="M261" s="3">
        <v>68.430000000000007</v>
      </c>
      <c r="N261" s="3">
        <v>1045.76</v>
      </c>
      <c r="O261" s="2" t="s">
        <v>70</v>
      </c>
      <c r="P261" s="3">
        <v>20.3</v>
      </c>
      <c r="Q261" t="str">
        <f t="shared" si="13"/>
        <v>2022-04</v>
      </c>
      <c r="R261" s="3">
        <f t="shared" si="14"/>
        <v>30.938609175759172</v>
      </c>
      <c r="S261" s="2" t="str">
        <f t="shared" si="12"/>
        <v>Success</v>
      </c>
    </row>
    <row r="262" spans="1:19" x14ac:dyDescent="0.3">
      <c r="A262" t="s">
        <v>327</v>
      </c>
      <c r="B262" s="1">
        <v>41324</v>
      </c>
      <c r="C262">
        <v>2012</v>
      </c>
      <c r="D262" s="2" t="s">
        <v>25</v>
      </c>
      <c r="E262" s="2" t="s">
        <v>87</v>
      </c>
      <c r="F262" s="2" t="s">
        <v>38</v>
      </c>
      <c r="G262" t="s">
        <v>56</v>
      </c>
      <c r="H262" s="3">
        <v>73.47</v>
      </c>
      <c r="I262" s="3">
        <v>314.62</v>
      </c>
      <c r="J262" s="3">
        <v>4282.28</v>
      </c>
      <c r="K262" s="1" t="s">
        <v>21</v>
      </c>
      <c r="L262" s="2" t="s">
        <v>41</v>
      </c>
      <c r="M262" s="3">
        <v>134.49</v>
      </c>
      <c r="N262" s="3">
        <v>1185.28</v>
      </c>
      <c r="O262" s="2" t="s">
        <v>52</v>
      </c>
      <c r="P262" s="3">
        <v>30.57</v>
      </c>
      <c r="Q262" t="str">
        <f t="shared" si="13"/>
        <v>2013-02</v>
      </c>
      <c r="R262" s="3">
        <f t="shared" si="14"/>
        <v>58.286103171362456</v>
      </c>
      <c r="S262" s="2" t="str">
        <f t="shared" si="12"/>
        <v>Success</v>
      </c>
    </row>
    <row r="263" spans="1:19" x14ac:dyDescent="0.3">
      <c r="A263" t="s">
        <v>328</v>
      </c>
      <c r="B263" s="1">
        <v>41133</v>
      </c>
      <c r="C263">
        <v>2012</v>
      </c>
      <c r="D263" s="2" t="s">
        <v>59</v>
      </c>
      <c r="E263" s="2" t="s">
        <v>63</v>
      </c>
      <c r="F263" s="2" t="s">
        <v>33</v>
      </c>
      <c r="G263" t="s">
        <v>64</v>
      </c>
      <c r="H263" s="3">
        <v>33.78</v>
      </c>
      <c r="I263" s="3">
        <v>231.27</v>
      </c>
      <c r="J263" s="3">
        <v>6846.39</v>
      </c>
      <c r="K263" s="1" t="s">
        <v>28</v>
      </c>
      <c r="L263" s="2" t="s">
        <v>49</v>
      </c>
      <c r="M263" s="3">
        <v>224.3</v>
      </c>
      <c r="N263" s="3">
        <v>922.04</v>
      </c>
      <c r="O263" s="2" t="s">
        <v>61</v>
      </c>
      <c r="P263" s="3">
        <v>23.98</v>
      </c>
      <c r="Q263" t="str">
        <f t="shared" si="13"/>
        <v>2012-08</v>
      </c>
      <c r="R263" s="3">
        <f t="shared" si="14"/>
        <v>202.67584369449378</v>
      </c>
      <c r="S263" s="2" t="str">
        <f t="shared" si="12"/>
        <v>Success</v>
      </c>
    </row>
    <row r="264" spans="1:19" x14ac:dyDescent="0.3">
      <c r="A264" t="s">
        <v>329</v>
      </c>
      <c r="B264" s="1">
        <v>40605</v>
      </c>
      <c r="C264">
        <v>2010</v>
      </c>
      <c r="D264" s="2" t="s">
        <v>103</v>
      </c>
      <c r="E264" s="2" t="s">
        <v>104</v>
      </c>
      <c r="F264" s="2" t="s">
        <v>38</v>
      </c>
      <c r="G264" t="s">
        <v>27</v>
      </c>
      <c r="H264" s="3">
        <v>55.42</v>
      </c>
      <c r="I264" s="3">
        <v>218.67</v>
      </c>
      <c r="J264" s="3">
        <v>3945.69</v>
      </c>
      <c r="K264" s="1" t="s">
        <v>21</v>
      </c>
      <c r="L264" s="2" t="s">
        <v>41</v>
      </c>
      <c r="M264" s="3">
        <v>140.21</v>
      </c>
      <c r="N264" s="3">
        <v>627.61</v>
      </c>
      <c r="O264" s="2" t="s">
        <v>70</v>
      </c>
      <c r="P264" s="3">
        <v>32.36</v>
      </c>
      <c r="Q264" t="str">
        <f t="shared" si="13"/>
        <v>2011-03</v>
      </c>
      <c r="R264" s="3">
        <f t="shared" si="14"/>
        <v>71.196138578130643</v>
      </c>
      <c r="S264" s="2" t="str">
        <f t="shared" si="12"/>
        <v>Success</v>
      </c>
    </row>
    <row r="265" spans="1:19" x14ac:dyDescent="0.3">
      <c r="A265" t="s">
        <v>330</v>
      </c>
      <c r="B265" s="1">
        <v>41493</v>
      </c>
      <c r="C265">
        <v>2013</v>
      </c>
      <c r="D265" s="2" t="s">
        <v>25</v>
      </c>
      <c r="E265" s="2" t="s">
        <v>26</v>
      </c>
      <c r="F265" s="2" t="s">
        <v>33</v>
      </c>
      <c r="G265" t="s">
        <v>39</v>
      </c>
      <c r="H265" s="3">
        <v>29.89</v>
      </c>
      <c r="I265" s="3">
        <v>44.58</v>
      </c>
      <c r="J265" s="3">
        <v>1491.62</v>
      </c>
      <c r="K265" s="1" t="s">
        <v>21</v>
      </c>
      <c r="L265" s="2" t="s">
        <v>22</v>
      </c>
      <c r="M265" s="3">
        <v>127.09</v>
      </c>
      <c r="N265" s="3">
        <v>597.47</v>
      </c>
      <c r="O265" s="2" t="s">
        <v>52</v>
      </c>
      <c r="P265" s="3">
        <v>33.42</v>
      </c>
      <c r="Q265" t="str">
        <f t="shared" si="13"/>
        <v>2013-08</v>
      </c>
      <c r="R265" s="3">
        <f t="shared" si="14"/>
        <v>49.903646704583466</v>
      </c>
      <c r="S265" s="2" t="str">
        <f t="shared" si="12"/>
        <v>Success</v>
      </c>
    </row>
    <row r="266" spans="1:19" x14ac:dyDescent="0.3">
      <c r="A266" t="s">
        <v>331</v>
      </c>
      <c r="B266" s="1">
        <v>42590</v>
      </c>
      <c r="C266">
        <v>2016</v>
      </c>
      <c r="D266" s="2" t="s">
        <v>17</v>
      </c>
      <c r="E266" s="2" t="s">
        <v>54</v>
      </c>
      <c r="F266" s="2" t="s">
        <v>33</v>
      </c>
      <c r="G266" t="s">
        <v>20</v>
      </c>
      <c r="H266" s="3">
        <v>88.66</v>
      </c>
      <c r="I266" s="3">
        <v>285.17</v>
      </c>
      <c r="J266" s="3">
        <v>3216.41</v>
      </c>
      <c r="K266" s="1" t="s">
        <v>28</v>
      </c>
      <c r="L266" s="2" t="s">
        <v>47</v>
      </c>
      <c r="M266" s="3">
        <v>61.15</v>
      </c>
      <c r="N266" s="3">
        <v>639.74</v>
      </c>
      <c r="O266" s="2" t="s">
        <v>70</v>
      </c>
      <c r="P266" s="3">
        <v>23.39</v>
      </c>
      <c r="Q266" t="str">
        <f t="shared" si="13"/>
        <v>2016-08</v>
      </c>
      <c r="R266" s="3">
        <f t="shared" si="14"/>
        <v>36.27802842318971</v>
      </c>
      <c r="S266" s="2" t="str">
        <f t="shared" si="12"/>
        <v>Success</v>
      </c>
    </row>
    <row r="267" spans="1:19" x14ac:dyDescent="0.3">
      <c r="A267" t="s">
        <v>332</v>
      </c>
      <c r="B267" s="1">
        <v>44676</v>
      </c>
      <c r="C267">
        <v>2022</v>
      </c>
      <c r="D267" s="2" t="s">
        <v>25</v>
      </c>
      <c r="E267" s="2" t="s">
        <v>26</v>
      </c>
      <c r="F267" s="2" t="s">
        <v>19</v>
      </c>
      <c r="G267" t="s">
        <v>39</v>
      </c>
      <c r="H267" s="3">
        <v>10.57</v>
      </c>
      <c r="I267" s="3">
        <v>52.94</v>
      </c>
      <c r="J267" s="3">
        <v>5008.8500000000004</v>
      </c>
      <c r="K267" s="1" t="s">
        <v>28</v>
      </c>
      <c r="L267" s="2" t="s">
        <v>47</v>
      </c>
      <c r="M267" s="3">
        <v>292.68</v>
      </c>
      <c r="N267" s="3">
        <v>789.73</v>
      </c>
      <c r="O267" s="2" t="s">
        <v>61</v>
      </c>
      <c r="P267" s="3">
        <v>20.91</v>
      </c>
      <c r="Q267" t="str">
        <f t="shared" si="13"/>
        <v>2022-04</v>
      </c>
      <c r="R267" s="3">
        <f t="shared" si="14"/>
        <v>473.8741721854305</v>
      </c>
      <c r="S267" s="2" t="str">
        <f t="shared" si="12"/>
        <v>Success</v>
      </c>
    </row>
    <row r="268" spans="1:19" x14ac:dyDescent="0.3">
      <c r="A268" t="s">
        <v>333</v>
      </c>
      <c r="B268" s="1">
        <v>44268</v>
      </c>
      <c r="C268">
        <v>2020</v>
      </c>
      <c r="D268" s="2" t="s">
        <v>36</v>
      </c>
      <c r="E268" s="2" t="s">
        <v>77</v>
      </c>
      <c r="F268" s="2" t="s">
        <v>38</v>
      </c>
      <c r="G268" t="s">
        <v>27</v>
      </c>
      <c r="H268" s="3">
        <v>88.28</v>
      </c>
      <c r="I268" s="3">
        <v>340.55</v>
      </c>
      <c r="J268" s="3">
        <v>3857.57</v>
      </c>
      <c r="K268" s="1" t="s">
        <v>21</v>
      </c>
      <c r="L268" s="2" t="s">
        <v>47</v>
      </c>
      <c r="M268" s="3">
        <v>148.69999999999999</v>
      </c>
      <c r="N268" s="3">
        <v>1053.94</v>
      </c>
      <c r="O268" s="2" t="s">
        <v>23</v>
      </c>
      <c r="P268" s="3">
        <v>27.53</v>
      </c>
      <c r="Q268" t="str">
        <f t="shared" si="13"/>
        <v>2021-03</v>
      </c>
      <c r="R268" s="3">
        <f t="shared" si="14"/>
        <v>43.696986859990936</v>
      </c>
      <c r="S268" s="2" t="str">
        <f t="shared" si="12"/>
        <v>Success</v>
      </c>
    </row>
    <row r="269" spans="1:19" x14ac:dyDescent="0.3">
      <c r="A269" t="s">
        <v>334</v>
      </c>
      <c r="B269" s="1">
        <v>41172</v>
      </c>
      <c r="C269">
        <v>2012</v>
      </c>
      <c r="D269" s="2" t="s">
        <v>17</v>
      </c>
      <c r="E269" s="2" t="s">
        <v>54</v>
      </c>
      <c r="F269" s="2" t="s">
        <v>33</v>
      </c>
      <c r="G269" t="s">
        <v>46</v>
      </c>
      <c r="H269" s="3">
        <v>18.12</v>
      </c>
      <c r="I269" s="3">
        <v>125.14</v>
      </c>
      <c r="J269" s="3">
        <v>6906.21</v>
      </c>
      <c r="K269" s="1" t="s">
        <v>40</v>
      </c>
      <c r="L269" s="2" t="s">
        <v>41</v>
      </c>
      <c r="M269" s="3">
        <v>252.12</v>
      </c>
      <c r="N269" s="3">
        <v>326.19</v>
      </c>
      <c r="O269" s="2" t="s">
        <v>52</v>
      </c>
      <c r="P269" s="3">
        <v>21.18</v>
      </c>
      <c r="Q269" t="str">
        <f t="shared" si="13"/>
        <v>2012-09</v>
      </c>
      <c r="R269" s="3">
        <f t="shared" si="14"/>
        <v>381.13741721854302</v>
      </c>
      <c r="S269" s="2" t="str">
        <f t="shared" si="12"/>
        <v>Success</v>
      </c>
    </row>
    <row r="270" spans="1:19" x14ac:dyDescent="0.3">
      <c r="A270" t="s">
        <v>335</v>
      </c>
      <c r="B270" s="1">
        <v>41017</v>
      </c>
      <c r="C270">
        <v>2012</v>
      </c>
      <c r="D270" s="2" t="s">
        <v>44</v>
      </c>
      <c r="E270" s="2" t="s">
        <v>67</v>
      </c>
      <c r="F270" s="2" t="s">
        <v>19</v>
      </c>
      <c r="G270" t="s">
        <v>20</v>
      </c>
      <c r="H270" s="3">
        <v>32.659999999999997</v>
      </c>
      <c r="I270" s="3">
        <v>175.14</v>
      </c>
      <c r="J270" s="3">
        <v>5362.62</v>
      </c>
      <c r="K270" s="1" t="s">
        <v>21</v>
      </c>
      <c r="L270" s="2" t="s">
        <v>47</v>
      </c>
      <c r="M270" s="3">
        <v>71.760000000000005</v>
      </c>
      <c r="N270" s="3">
        <v>756.36</v>
      </c>
      <c r="O270" s="2" t="s">
        <v>61</v>
      </c>
      <c r="P270" s="3">
        <v>24.89</v>
      </c>
      <c r="Q270" t="str">
        <f t="shared" si="13"/>
        <v>2012-04</v>
      </c>
      <c r="R270" s="3">
        <f t="shared" si="14"/>
        <v>164.19534598897735</v>
      </c>
      <c r="S270" s="2" t="str">
        <f t="shared" si="12"/>
        <v>Success</v>
      </c>
    </row>
    <row r="271" spans="1:19" x14ac:dyDescent="0.3">
      <c r="A271" t="s">
        <v>336</v>
      </c>
      <c r="B271" s="1">
        <v>44712</v>
      </c>
      <c r="C271">
        <v>2022</v>
      </c>
      <c r="D271" s="2" t="s">
        <v>36</v>
      </c>
      <c r="E271" s="2" t="s">
        <v>37</v>
      </c>
      <c r="F271" s="2" t="s">
        <v>19</v>
      </c>
      <c r="G271" t="s">
        <v>27</v>
      </c>
      <c r="H271" s="3">
        <v>59.17</v>
      </c>
      <c r="I271" s="3">
        <v>336.68</v>
      </c>
      <c r="J271" s="3">
        <v>5690.11</v>
      </c>
      <c r="K271" s="1" t="s">
        <v>21</v>
      </c>
      <c r="L271" s="2" t="s">
        <v>22</v>
      </c>
      <c r="M271" s="3">
        <v>153.61000000000001</v>
      </c>
      <c r="N271" s="3">
        <v>348.2</v>
      </c>
      <c r="O271" s="2" t="s">
        <v>61</v>
      </c>
      <c r="P271" s="3">
        <v>28.74</v>
      </c>
      <c r="Q271" t="str">
        <f t="shared" si="13"/>
        <v>2022-05</v>
      </c>
      <c r="R271" s="3">
        <f t="shared" si="14"/>
        <v>96.165455467297605</v>
      </c>
      <c r="S271" s="2" t="str">
        <f t="shared" si="12"/>
        <v>Success</v>
      </c>
    </row>
    <row r="272" spans="1:19" x14ac:dyDescent="0.3">
      <c r="A272" t="s">
        <v>337</v>
      </c>
      <c r="B272" s="1">
        <v>44722</v>
      </c>
      <c r="C272">
        <v>2022</v>
      </c>
      <c r="D272" s="2" t="s">
        <v>25</v>
      </c>
      <c r="E272" s="2" t="s">
        <v>69</v>
      </c>
      <c r="F272" s="2" t="s">
        <v>33</v>
      </c>
      <c r="G272" t="s">
        <v>20</v>
      </c>
      <c r="H272" s="3">
        <v>86.88</v>
      </c>
      <c r="I272" s="3">
        <v>545.67999999999995</v>
      </c>
      <c r="J272" s="3">
        <v>6280.81</v>
      </c>
      <c r="K272" s="1" t="s">
        <v>28</v>
      </c>
      <c r="L272" s="2" t="s">
        <v>41</v>
      </c>
      <c r="M272" s="3">
        <v>116.03</v>
      </c>
      <c r="N272" s="3">
        <v>854.79</v>
      </c>
      <c r="O272" s="2" t="s">
        <v>61</v>
      </c>
      <c r="P272" s="3">
        <v>29.13</v>
      </c>
      <c r="Q272" t="str">
        <f t="shared" si="13"/>
        <v>2022-06</v>
      </c>
      <c r="R272" s="3">
        <f t="shared" si="14"/>
        <v>72.292932780847153</v>
      </c>
      <c r="S272" s="2" t="str">
        <f t="shared" si="12"/>
        <v>Success</v>
      </c>
    </row>
    <row r="273" spans="1:19" x14ac:dyDescent="0.3">
      <c r="A273" t="s">
        <v>338</v>
      </c>
      <c r="B273" s="1">
        <v>41030</v>
      </c>
      <c r="C273">
        <v>2012</v>
      </c>
      <c r="D273" s="2" t="s">
        <v>31</v>
      </c>
      <c r="E273" s="2" t="s">
        <v>32</v>
      </c>
      <c r="F273" s="2" t="s">
        <v>19</v>
      </c>
      <c r="G273" t="s">
        <v>27</v>
      </c>
      <c r="H273" s="3">
        <v>68.400000000000006</v>
      </c>
      <c r="I273" s="3">
        <v>233.27</v>
      </c>
      <c r="J273" s="3">
        <v>3410.32</v>
      </c>
      <c r="K273" s="1" t="s">
        <v>28</v>
      </c>
      <c r="L273" s="2" t="s">
        <v>49</v>
      </c>
      <c r="M273" s="3">
        <v>272.39</v>
      </c>
      <c r="N273" s="3">
        <v>531.49</v>
      </c>
      <c r="O273" s="2" t="s">
        <v>42</v>
      </c>
      <c r="P273" s="3">
        <v>20.74</v>
      </c>
      <c r="Q273" t="str">
        <f t="shared" si="13"/>
        <v>2012-05</v>
      </c>
      <c r="R273" s="3">
        <f t="shared" si="14"/>
        <v>49.858479532163742</v>
      </c>
      <c r="S273" s="2" t="str">
        <f t="shared" si="12"/>
        <v>Success</v>
      </c>
    </row>
    <row r="274" spans="1:19" x14ac:dyDescent="0.3">
      <c r="A274" t="s">
        <v>339</v>
      </c>
      <c r="B274" s="1">
        <v>42422</v>
      </c>
      <c r="C274">
        <v>2015</v>
      </c>
      <c r="D274" s="2" t="s">
        <v>31</v>
      </c>
      <c r="E274" s="2" t="s">
        <v>82</v>
      </c>
      <c r="F274" s="2" t="s">
        <v>38</v>
      </c>
      <c r="G274" t="s">
        <v>20</v>
      </c>
      <c r="H274" s="3">
        <v>28.75</v>
      </c>
      <c r="I274" s="3">
        <v>113.55</v>
      </c>
      <c r="J274" s="3">
        <v>3949.72</v>
      </c>
      <c r="K274" s="1" t="s">
        <v>21</v>
      </c>
      <c r="L274" s="2" t="s">
        <v>49</v>
      </c>
      <c r="M274" s="3">
        <v>293.12</v>
      </c>
      <c r="N274" s="3">
        <v>427.96</v>
      </c>
      <c r="O274" s="2" t="s">
        <v>70</v>
      </c>
      <c r="P274" s="3">
        <v>34.61</v>
      </c>
      <c r="Q274" t="str">
        <f t="shared" si="13"/>
        <v>2016-02</v>
      </c>
      <c r="R274" s="3">
        <f t="shared" si="14"/>
        <v>137.38156521739128</v>
      </c>
      <c r="S274" s="2" t="str">
        <f t="shared" si="12"/>
        <v>Success</v>
      </c>
    </row>
    <row r="275" spans="1:19" x14ac:dyDescent="0.3">
      <c r="A275" t="s">
        <v>340</v>
      </c>
      <c r="B275" s="1">
        <v>42493</v>
      </c>
      <c r="C275">
        <v>2016</v>
      </c>
      <c r="D275" s="2" t="s">
        <v>31</v>
      </c>
      <c r="E275" s="2" t="s">
        <v>117</v>
      </c>
      <c r="F275" s="2" t="s">
        <v>19</v>
      </c>
      <c r="G275" t="s">
        <v>39</v>
      </c>
      <c r="H275" s="3">
        <v>9.84</v>
      </c>
      <c r="I275" s="3">
        <v>35.92</v>
      </c>
      <c r="J275" s="3">
        <v>3650.3</v>
      </c>
      <c r="K275" s="1" t="s">
        <v>28</v>
      </c>
      <c r="L275" s="2" t="s">
        <v>41</v>
      </c>
      <c r="M275" s="3">
        <v>235.24</v>
      </c>
      <c r="N275" s="3">
        <v>959.49</v>
      </c>
      <c r="O275" s="2" t="s">
        <v>70</v>
      </c>
      <c r="P275" s="3">
        <v>32.32</v>
      </c>
      <c r="Q275" t="str">
        <f t="shared" si="13"/>
        <v>2016-05</v>
      </c>
      <c r="R275" s="3">
        <f t="shared" si="14"/>
        <v>370.96544715447158</v>
      </c>
      <c r="S275" s="2" t="str">
        <f t="shared" si="12"/>
        <v>Success</v>
      </c>
    </row>
    <row r="276" spans="1:19" x14ac:dyDescent="0.3">
      <c r="A276" t="s">
        <v>341</v>
      </c>
      <c r="B276" s="1">
        <v>44302</v>
      </c>
      <c r="C276">
        <v>2021</v>
      </c>
      <c r="D276" s="2" t="s">
        <v>25</v>
      </c>
      <c r="E276" s="2" t="s">
        <v>87</v>
      </c>
      <c r="F276" s="2" t="s">
        <v>19</v>
      </c>
      <c r="G276" t="s">
        <v>46</v>
      </c>
      <c r="H276" s="3">
        <v>14.43</v>
      </c>
      <c r="I276" s="3">
        <v>88.14</v>
      </c>
      <c r="J276" s="3">
        <v>6107.77</v>
      </c>
      <c r="K276" s="1" t="s">
        <v>21</v>
      </c>
      <c r="L276" s="2" t="s">
        <v>22</v>
      </c>
      <c r="M276" s="3">
        <v>93.43</v>
      </c>
      <c r="N276" s="3">
        <v>1075.18</v>
      </c>
      <c r="O276" s="2" t="s">
        <v>42</v>
      </c>
      <c r="P276" s="3">
        <v>32.549999999999997</v>
      </c>
      <c r="Q276" t="str">
        <f t="shared" si="13"/>
        <v>2021-04</v>
      </c>
      <c r="R276" s="3">
        <f t="shared" si="14"/>
        <v>423.26888426888434</v>
      </c>
      <c r="S276" s="2" t="str">
        <f t="shared" si="12"/>
        <v>Success</v>
      </c>
    </row>
    <row r="277" spans="1:19" x14ac:dyDescent="0.3">
      <c r="A277" t="s">
        <v>342</v>
      </c>
      <c r="B277" s="1">
        <v>42126</v>
      </c>
      <c r="C277">
        <v>2015</v>
      </c>
      <c r="D277" s="2" t="s">
        <v>36</v>
      </c>
      <c r="E277" s="2" t="s">
        <v>37</v>
      </c>
      <c r="F277" s="2" t="s">
        <v>19</v>
      </c>
      <c r="G277" t="s">
        <v>56</v>
      </c>
      <c r="H277" s="3">
        <v>28.12</v>
      </c>
      <c r="I277" s="3">
        <v>167.06</v>
      </c>
      <c r="J277" s="3">
        <v>5941.04</v>
      </c>
      <c r="K277" s="1" t="s">
        <v>28</v>
      </c>
      <c r="L277" s="2" t="s">
        <v>47</v>
      </c>
      <c r="M277" s="3">
        <v>208.85</v>
      </c>
      <c r="N277" s="3">
        <v>323.87</v>
      </c>
      <c r="O277" s="2" t="s">
        <v>23</v>
      </c>
      <c r="P277" s="3">
        <v>23.63</v>
      </c>
      <c r="Q277" t="str">
        <f t="shared" si="13"/>
        <v>2015-05</v>
      </c>
      <c r="R277" s="3">
        <f t="shared" si="14"/>
        <v>211.27453769559031</v>
      </c>
      <c r="S277" s="2" t="str">
        <f t="shared" si="12"/>
        <v>Success</v>
      </c>
    </row>
    <row r="278" spans="1:19" x14ac:dyDescent="0.3">
      <c r="A278" t="s">
        <v>343</v>
      </c>
      <c r="B278" s="1">
        <v>42829</v>
      </c>
      <c r="C278">
        <v>2017</v>
      </c>
      <c r="D278" s="2" t="s">
        <v>36</v>
      </c>
      <c r="E278" s="2" t="s">
        <v>37</v>
      </c>
      <c r="F278" s="2" t="s">
        <v>19</v>
      </c>
      <c r="G278" t="s">
        <v>27</v>
      </c>
      <c r="H278" s="3">
        <v>35.630000000000003</v>
      </c>
      <c r="I278" s="3">
        <v>70.59</v>
      </c>
      <c r="J278" s="3">
        <v>1981.08</v>
      </c>
      <c r="K278" s="1" t="s">
        <v>34</v>
      </c>
      <c r="L278" s="2" t="s">
        <v>41</v>
      </c>
      <c r="M278" s="3">
        <v>237.24</v>
      </c>
      <c r="N278" s="3">
        <v>888.85</v>
      </c>
      <c r="O278" s="2" t="s">
        <v>70</v>
      </c>
      <c r="P278" s="3">
        <v>20.41</v>
      </c>
      <c r="Q278" t="str">
        <f t="shared" si="13"/>
        <v>2017-04</v>
      </c>
      <c r="R278" s="3">
        <f t="shared" si="14"/>
        <v>55.601459444288515</v>
      </c>
      <c r="S278" s="2" t="str">
        <f t="shared" si="12"/>
        <v>Success</v>
      </c>
    </row>
    <row r="279" spans="1:19" x14ac:dyDescent="0.3">
      <c r="A279" t="s">
        <v>344</v>
      </c>
      <c r="B279" s="1">
        <v>44746</v>
      </c>
      <c r="C279">
        <v>2022</v>
      </c>
      <c r="D279" s="2" t="s">
        <v>44</v>
      </c>
      <c r="E279" s="2" t="s">
        <v>67</v>
      </c>
      <c r="F279" s="2" t="s">
        <v>33</v>
      </c>
      <c r="G279" t="s">
        <v>56</v>
      </c>
      <c r="H279" s="3">
        <v>65.09</v>
      </c>
      <c r="I279" s="3">
        <v>329.76</v>
      </c>
      <c r="J279" s="3">
        <v>5066.17</v>
      </c>
      <c r="K279" s="1" t="s">
        <v>34</v>
      </c>
      <c r="L279" s="2" t="s">
        <v>41</v>
      </c>
      <c r="M279" s="3">
        <v>212.9</v>
      </c>
      <c r="N279" s="3">
        <v>713.28</v>
      </c>
      <c r="O279" s="2" t="s">
        <v>23</v>
      </c>
      <c r="P279" s="3">
        <v>27.11</v>
      </c>
      <c r="Q279" t="str">
        <f t="shared" si="13"/>
        <v>2022-07</v>
      </c>
      <c r="R279" s="3">
        <f t="shared" si="14"/>
        <v>77.833307727761564</v>
      </c>
      <c r="S279" s="2" t="str">
        <f t="shared" si="12"/>
        <v>Success</v>
      </c>
    </row>
    <row r="280" spans="1:19" x14ac:dyDescent="0.3">
      <c r="A280" t="s">
        <v>345</v>
      </c>
      <c r="B280" s="1">
        <v>41634</v>
      </c>
      <c r="C280">
        <v>2013</v>
      </c>
      <c r="D280" s="2" t="s">
        <v>59</v>
      </c>
      <c r="E280" s="2" t="s">
        <v>60</v>
      </c>
      <c r="F280" s="2" t="s">
        <v>38</v>
      </c>
      <c r="G280" t="s">
        <v>27</v>
      </c>
      <c r="H280" s="3">
        <v>80.7</v>
      </c>
      <c r="I280" s="3">
        <v>228.6</v>
      </c>
      <c r="J280" s="3">
        <v>2832.76</v>
      </c>
      <c r="K280" s="1" t="s">
        <v>34</v>
      </c>
      <c r="L280" s="2" t="s">
        <v>29</v>
      </c>
      <c r="M280" s="3">
        <v>155.94999999999999</v>
      </c>
      <c r="N280" s="3">
        <v>576.48</v>
      </c>
      <c r="O280" s="2" t="s">
        <v>70</v>
      </c>
      <c r="P280" s="3">
        <v>26.88</v>
      </c>
      <c r="Q280" t="str">
        <f t="shared" si="13"/>
        <v>2013-12</v>
      </c>
      <c r="R280" s="3">
        <f t="shared" si="14"/>
        <v>35.102354399008675</v>
      </c>
      <c r="S280" s="2" t="str">
        <f t="shared" si="12"/>
        <v>Success</v>
      </c>
    </row>
    <row r="281" spans="1:19" x14ac:dyDescent="0.3">
      <c r="A281" t="s">
        <v>346</v>
      </c>
      <c r="B281" s="1">
        <v>43197</v>
      </c>
      <c r="C281">
        <v>2018</v>
      </c>
      <c r="D281" s="2" t="s">
        <v>31</v>
      </c>
      <c r="E281" s="2" t="s">
        <v>117</v>
      </c>
      <c r="F281" s="2" t="s">
        <v>19</v>
      </c>
      <c r="G281" t="s">
        <v>46</v>
      </c>
      <c r="H281" s="3">
        <v>58.86</v>
      </c>
      <c r="I281" s="3">
        <v>61.46</v>
      </c>
      <c r="J281" s="3">
        <v>1044.0899999999999</v>
      </c>
      <c r="K281" s="1" t="s">
        <v>34</v>
      </c>
      <c r="L281" s="2" t="s">
        <v>29</v>
      </c>
      <c r="M281" s="3">
        <v>190.36</v>
      </c>
      <c r="N281" s="3">
        <v>793.77</v>
      </c>
      <c r="O281" s="2" t="s">
        <v>70</v>
      </c>
      <c r="P281" s="3">
        <v>24.48</v>
      </c>
      <c r="Q281" t="str">
        <f t="shared" si="13"/>
        <v>2018-04</v>
      </c>
      <c r="R281" s="3">
        <f t="shared" si="14"/>
        <v>17.738532110091743</v>
      </c>
      <c r="S281" s="2" t="str">
        <f t="shared" si="12"/>
        <v>Success</v>
      </c>
    </row>
    <row r="282" spans="1:19" x14ac:dyDescent="0.3">
      <c r="A282" t="s">
        <v>347</v>
      </c>
      <c r="B282" s="1">
        <v>41781</v>
      </c>
      <c r="C282">
        <v>2014</v>
      </c>
      <c r="D282" s="2" t="s">
        <v>25</v>
      </c>
      <c r="E282" s="2" t="s">
        <v>87</v>
      </c>
      <c r="F282" s="2" t="s">
        <v>19</v>
      </c>
      <c r="G282" t="s">
        <v>20</v>
      </c>
      <c r="H282" s="3">
        <v>86.29</v>
      </c>
      <c r="I282" s="3">
        <v>221.5</v>
      </c>
      <c r="J282" s="3">
        <v>2566.88</v>
      </c>
      <c r="K282" s="1" t="s">
        <v>34</v>
      </c>
      <c r="L282" s="2" t="s">
        <v>47</v>
      </c>
      <c r="M282" s="3">
        <v>97.09</v>
      </c>
      <c r="N282" s="3">
        <v>717.29</v>
      </c>
      <c r="O282" s="2" t="s">
        <v>42</v>
      </c>
      <c r="P282" s="3">
        <v>33.5</v>
      </c>
      <c r="Q282" t="str">
        <f t="shared" si="13"/>
        <v>2014-05</v>
      </c>
      <c r="R282" s="3">
        <f t="shared" si="14"/>
        <v>29.747131764978558</v>
      </c>
      <c r="S282" s="2" t="str">
        <f t="shared" si="12"/>
        <v>Success</v>
      </c>
    </row>
    <row r="283" spans="1:19" x14ac:dyDescent="0.3">
      <c r="A283" t="s">
        <v>348</v>
      </c>
      <c r="B283" s="1">
        <v>42132</v>
      </c>
      <c r="C283">
        <v>2015</v>
      </c>
      <c r="D283" s="2" t="s">
        <v>36</v>
      </c>
      <c r="E283" s="2" t="s">
        <v>77</v>
      </c>
      <c r="F283" s="2" t="s">
        <v>19</v>
      </c>
      <c r="G283" t="s">
        <v>56</v>
      </c>
      <c r="H283" s="3">
        <v>72.41</v>
      </c>
      <c r="I283" s="3">
        <v>357.16</v>
      </c>
      <c r="J283" s="3">
        <v>4932.3999999999996</v>
      </c>
      <c r="K283" s="1" t="s">
        <v>34</v>
      </c>
      <c r="L283" s="2" t="s">
        <v>47</v>
      </c>
      <c r="M283" s="3">
        <v>114.86</v>
      </c>
      <c r="N283" s="3">
        <v>618.57000000000005</v>
      </c>
      <c r="O283" s="2" t="s">
        <v>52</v>
      </c>
      <c r="P283" s="3">
        <v>31.05</v>
      </c>
      <c r="Q283" t="str">
        <f t="shared" si="13"/>
        <v>2015-05</v>
      </c>
      <c r="R283" s="3">
        <f t="shared" si="14"/>
        <v>68.117663306173185</v>
      </c>
      <c r="S283" s="2" t="str">
        <f t="shared" si="12"/>
        <v>Success</v>
      </c>
    </row>
    <row r="284" spans="1:19" x14ac:dyDescent="0.3">
      <c r="A284" t="s">
        <v>349</v>
      </c>
      <c r="B284" s="1">
        <v>42105</v>
      </c>
      <c r="C284">
        <v>2015</v>
      </c>
      <c r="D284" s="2" t="s">
        <v>44</v>
      </c>
      <c r="E284" s="2" t="s">
        <v>45</v>
      </c>
      <c r="F284" s="2" t="s">
        <v>19</v>
      </c>
      <c r="G284" t="s">
        <v>39</v>
      </c>
      <c r="H284" s="3">
        <v>23.01</v>
      </c>
      <c r="I284" s="3">
        <v>96.82</v>
      </c>
      <c r="J284" s="3">
        <v>4207.8100000000004</v>
      </c>
      <c r="K284" s="1" t="s">
        <v>28</v>
      </c>
      <c r="L284" s="2" t="s">
        <v>47</v>
      </c>
      <c r="M284" s="3">
        <v>276.63</v>
      </c>
      <c r="N284" s="3">
        <v>871.87</v>
      </c>
      <c r="O284" s="2" t="s">
        <v>61</v>
      </c>
      <c r="P284" s="3">
        <v>24.5</v>
      </c>
      <c r="Q284" t="str">
        <f t="shared" si="13"/>
        <v>2015-04</v>
      </c>
      <c r="R284" s="3">
        <f t="shared" si="14"/>
        <v>182.86875271621034</v>
      </c>
      <c r="S284" s="2" t="str">
        <f t="shared" si="12"/>
        <v>Success</v>
      </c>
    </row>
    <row r="285" spans="1:19" x14ac:dyDescent="0.3">
      <c r="A285" t="s">
        <v>350</v>
      </c>
      <c r="B285" s="1">
        <v>40905</v>
      </c>
      <c r="C285">
        <v>2011</v>
      </c>
      <c r="D285" s="2" t="s">
        <v>103</v>
      </c>
      <c r="E285" s="2" t="s">
        <v>107</v>
      </c>
      <c r="F285" s="2" t="s">
        <v>38</v>
      </c>
      <c r="G285" t="s">
        <v>56</v>
      </c>
      <c r="H285" s="3">
        <v>74.349999999999994</v>
      </c>
      <c r="I285" s="3">
        <v>397.86</v>
      </c>
      <c r="J285" s="3">
        <v>5351.12</v>
      </c>
      <c r="K285" s="1" t="s">
        <v>40</v>
      </c>
      <c r="L285" s="2" t="s">
        <v>49</v>
      </c>
      <c r="M285" s="3">
        <v>286.73</v>
      </c>
      <c r="N285" s="3">
        <v>1099.5899999999999</v>
      </c>
      <c r="O285" s="2" t="s">
        <v>23</v>
      </c>
      <c r="P285" s="3">
        <v>23.33</v>
      </c>
      <c r="Q285" t="str">
        <f t="shared" si="13"/>
        <v>2011-12</v>
      </c>
      <c r="R285" s="3">
        <f t="shared" si="14"/>
        <v>71.972024209818429</v>
      </c>
      <c r="S285" s="2" t="str">
        <f t="shared" si="12"/>
        <v>Success</v>
      </c>
    </row>
    <row r="286" spans="1:19" x14ac:dyDescent="0.3">
      <c r="A286" t="s">
        <v>351</v>
      </c>
      <c r="B286" s="1">
        <v>42327</v>
      </c>
      <c r="C286">
        <v>2015</v>
      </c>
      <c r="D286" s="2" t="s">
        <v>36</v>
      </c>
      <c r="E286" s="2" t="s">
        <v>51</v>
      </c>
      <c r="F286" s="2" t="s">
        <v>38</v>
      </c>
      <c r="G286" t="s">
        <v>27</v>
      </c>
      <c r="H286" s="3">
        <v>30.11</v>
      </c>
      <c r="I286" s="3">
        <v>183.89</v>
      </c>
      <c r="J286" s="3">
        <v>6107.28</v>
      </c>
      <c r="K286" s="1" t="s">
        <v>28</v>
      </c>
      <c r="L286" s="2" t="s">
        <v>29</v>
      </c>
      <c r="M286" s="3">
        <v>63.42</v>
      </c>
      <c r="N286" s="3">
        <v>834.4</v>
      </c>
      <c r="O286" s="2" t="s">
        <v>61</v>
      </c>
      <c r="P286" s="3">
        <v>34.159999999999997</v>
      </c>
      <c r="Q286" t="str">
        <f t="shared" si="13"/>
        <v>2015-11</v>
      </c>
      <c r="R286" s="3">
        <f t="shared" si="14"/>
        <v>202.83228163400864</v>
      </c>
      <c r="S286" s="2" t="str">
        <f t="shared" si="12"/>
        <v>Success</v>
      </c>
    </row>
    <row r="287" spans="1:19" x14ac:dyDescent="0.3">
      <c r="A287" t="s">
        <v>352</v>
      </c>
      <c r="B287" s="1">
        <v>40691</v>
      </c>
      <c r="C287">
        <v>2011</v>
      </c>
      <c r="D287" s="2" t="s">
        <v>103</v>
      </c>
      <c r="E287" s="2" t="s">
        <v>228</v>
      </c>
      <c r="F287" s="2" t="s">
        <v>19</v>
      </c>
      <c r="G287" t="s">
        <v>46</v>
      </c>
      <c r="H287" s="3">
        <v>53.45</v>
      </c>
      <c r="I287" s="3">
        <v>185.93</v>
      </c>
      <c r="J287" s="3">
        <v>3478.64</v>
      </c>
      <c r="K287" s="1" t="s">
        <v>40</v>
      </c>
      <c r="L287" s="2" t="s">
        <v>29</v>
      </c>
      <c r="M287" s="3">
        <v>84.34</v>
      </c>
      <c r="N287" s="3">
        <v>400.3</v>
      </c>
      <c r="O287" s="2" t="s">
        <v>52</v>
      </c>
      <c r="P287" s="3">
        <v>34.81</v>
      </c>
      <c r="Q287" t="str">
        <f t="shared" si="13"/>
        <v>2011-05</v>
      </c>
      <c r="R287" s="3">
        <f t="shared" si="14"/>
        <v>65.082132834424684</v>
      </c>
      <c r="S287" s="2" t="str">
        <f t="shared" si="12"/>
        <v>Success</v>
      </c>
    </row>
    <row r="288" spans="1:19" x14ac:dyDescent="0.3">
      <c r="A288" t="s">
        <v>353</v>
      </c>
      <c r="B288" s="1">
        <v>44391</v>
      </c>
      <c r="C288">
        <v>2021</v>
      </c>
      <c r="D288" s="2" t="s">
        <v>103</v>
      </c>
      <c r="E288" s="2" t="s">
        <v>107</v>
      </c>
      <c r="F288" s="2" t="s">
        <v>33</v>
      </c>
      <c r="G288" t="s">
        <v>64</v>
      </c>
      <c r="H288" s="3">
        <v>49.27</v>
      </c>
      <c r="I288" s="3">
        <v>235.82</v>
      </c>
      <c r="J288" s="3">
        <v>4786.2</v>
      </c>
      <c r="K288" s="1" t="s">
        <v>40</v>
      </c>
      <c r="L288" s="2" t="s">
        <v>47</v>
      </c>
      <c r="M288" s="3">
        <v>128.35</v>
      </c>
      <c r="N288" s="3">
        <v>258.01</v>
      </c>
      <c r="O288" s="2" t="s">
        <v>52</v>
      </c>
      <c r="P288" s="3">
        <v>24.1</v>
      </c>
      <c r="Q288" t="str">
        <f t="shared" si="13"/>
        <v>2021-07</v>
      </c>
      <c r="R288" s="3">
        <f t="shared" si="14"/>
        <v>97.142277247818129</v>
      </c>
      <c r="S288" s="2" t="str">
        <f t="shared" si="12"/>
        <v>Success</v>
      </c>
    </row>
    <row r="289" spans="1:19" x14ac:dyDescent="0.3">
      <c r="A289" t="s">
        <v>354</v>
      </c>
      <c r="B289" s="1">
        <v>42938</v>
      </c>
      <c r="C289">
        <v>2017</v>
      </c>
      <c r="D289" s="2" t="s">
        <v>44</v>
      </c>
      <c r="E289" s="2" t="s">
        <v>45</v>
      </c>
      <c r="F289" s="2" t="s">
        <v>33</v>
      </c>
      <c r="G289" t="s">
        <v>56</v>
      </c>
      <c r="H289" s="3">
        <v>61.83</v>
      </c>
      <c r="I289" s="3">
        <v>296.83999999999997</v>
      </c>
      <c r="J289" s="3">
        <v>4800.93</v>
      </c>
      <c r="K289" s="1" t="s">
        <v>28</v>
      </c>
      <c r="L289" s="2" t="s">
        <v>49</v>
      </c>
      <c r="M289" s="3">
        <v>157.26</v>
      </c>
      <c r="N289" s="3">
        <v>677.4</v>
      </c>
      <c r="O289" s="2" t="s">
        <v>23</v>
      </c>
      <c r="P289" s="3">
        <v>20.57</v>
      </c>
      <c r="Q289" t="str">
        <f t="shared" si="13"/>
        <v>2017-07</v>
      </c>
      <c r="R289" s="3">
        <f t="shared" si="14"/>
        <v>77.647258612324123</v>
      </c>
      <c r="S289" s="2" t="str">
        <f t="shared" si="12"/>
        <v>Success</v>
      </c>
    </row>
    <row r="290" spans="1:19" x14ac:dyDescent="0.3">
      <c r="A290" t="s">
        <v>355</v>
      </c>
      <c r="B290" s="1">
        <v>44676</v>
      </c>
      <c r="C290">
        <v>2022</v>
      </c>
      <c r="D290" s="2" t="s">
        <v>25</v>
      </c>
      <c r="E290" s="2" t="s">
        <v>87</v>
      </c>
      <c r="F290" s="2" t="s">
        <v>19</v>
      </c>
      <c r="G290" t="s">
        <v>56</v>
      </c>
      <c r="H290" s="3">
        <v>2.77</v>
      </c>
      <c r="I290" s="3">
        <v>2.84</v>
      </c>
      <c r="J290" s="3">
        <v>1024.74</v>
      </c>
      <c r="K290" s="1" t="s">
        <v>40</v>
      </c>
      <c r="L290" s="2" t="s">
        <v>47</v>
      </c>
      <c r="M290" s="3">
        <v>106.57</v>
      </c>
      <c r="N290" s="3">
        <v>1076.99</v>
      </c>
      <c r="O290" s="2" t="s">
        <v>70</v>
      </c>
      <c r="P290" s="3">
        <v>21.93</v>
      </c>
      <c r="Q290" t="str">
        <f t="shared" si="13"/>
        <v>2022-04</v>
      </c>
      <c r="R290" s="3">
        <f t="shared" si="14"/>
        <v>369.94223826714801</v>
      </c>
      <c r="S290" s="2" t="str">
        <f t="shared" si="12"/>
        <v>Success</v>
      </c>
    </row>
    <row r="291" spans="1:19" x14ac:dyDescent="0.3">
      <c r="A291" t="s">
        <v>356</v>
      </c>
      <c r="B291" s="1">
        <v>41186</v>
      </c>
      <c r="C291">
        <v>2012</v>
      </c>
      <c r="D291" s="2" t="s">
        <v>59</v>
      </c>
      <c r="E291" s="2" t="s">
        <v>63</v>
      </c>
      <c r="F291" s="2" t="s">
        <v>33</v>
      </c>
      <c r="G291" t="s">
        <v>64</v>
      </c>
      <c r="H291" s="3">
        <v>30.52</v>
      </c>
      <c r="I291" s="3">
        <v>83.78</v>
      </c>
      <c r="J291" s="3">
        <v>2744.97</v>
      </c>
      <c r="K291" s="1" t="s">
        <v>34</v>
      </c>
      <c r="L291" s="2" t="s">
        <v>49</v>
      </c>
      <c r="M291" s="3">
        <v>158.41999999999999</v>
      </c>
      <c r="N291" s="3">
        <v>886.78</v>
      </c>
      <c r="O291" s="2" t="s">
        <v>42</v>
      </c>
      <c r="P291" s="3">
        <v>25.14</v>
      </c>
      <c r="Q291" t="str">
        <f t="shared" si="13"/>
        <v>2012-10</v>
      </c>
      <c r="R291" s="3">
        <f t="shared" si="14"/>
        <v>89.940039318479677</v>
      </c>
      <c r="S291" s="2" t="str">
        <f t="shared" si="12"/>
        <v>Success</v>
      </c>
    </row>
    <row r="292" spans="1:19" x14ac:dyDescent="0.3">
      <c r="A292" t="s">
        <v>357</v>
      </c>
      <c r="B292" s="1">
        <v>41307</v>
      </c>
      <c r="C292">
        <v>2012</v>
      </c>
      <c r="D292" s="2" t="s">
        <v>44</v>
      </c>
      <c r="E292" s="2" t="s">
        <v>45</v>
      </c>
      <c r="F292" s="2" t="s">
        <v>38</v>
      </c>
      <c r="G292" t="s">
        <v>64</v>
      </c>
      <c r="H292" s="3">
        <v>23.61</v>
      </c>
      <c r="I292" s="3">
        <v>126.62</v>
      </c>
      <c r="J292" s="3">
        <v>5363.01</v>
      </c>
      <c r="K292" s="1" t="s">
        <v>40</v>
      </c>
      <c r="L292" s="2" t="s">
        <v>22</v>
      </c>
      <c r="M292" s="3">
        <v>102.8</v>
      </c>
      <c r="N292" s="3">
        <v>221.91</v>
      </c>
      <c r="O292" s="2" t="s">
        <v>61</v>
      </c>
      <c r="P292" s="3">
        <v>22.53</v>
      </c>
      <c r="Q292" t="str">
        <f t="shared" si="13"/>
        <v>2013-02</v>
      </c>
      <c r="R292" s="3">
        <f t="shared" si="14"/>
        <v>227.14993646759848</v>
      </c>
      <c r="S292" s="2" t="str">
        <f t="shared" si="12"/>
        <v>Success</v>
      </c>
    </row>
    <row r="293" spans="1:19" x14ac:dyDescent="0.3">
      <c r="A293" t="s">
        <v>358</v>
      </c>
      <c r="B293" s="1">
        <v>41754</v>
      </c>
      <c r="C293">
        <v>2014</v>
      </c>
      <c r="D293" s="2" t="s">
        <v>36</v>
      </c>
      <c r="E293" s="2" t="s">
        <v>77</v>
      </c>
      <c r="F293" s="2" t="s">
        <v>19</v>
      </c>
      <c r="G293" t="s">
        <v>27</v>
      </c>
      <c r="H293" s="3">
        <v>5.81</v>
      </c>
      <c r="I293" s="3">
        <v>40.479999999999997</v>
      </c>
      <c r="J293" s="3">
        <v>6968.08</v>
      </c>
      <c r="K293" s="1" t="s">
        <v>21</v>
      </c>
      <c r="L293" s="2" t="s">
        <v>22</v>
      </c>
      <c r="M293" s="3">
        <v>213.39</v>
      </c>
      <c r="N293" s="3">
        <v>219.74</v>
      </c>
      <c r="O293" s="2" t="s">
        <v>23</v>
      </c>
      <c r="P293" s="3">
        <v>26.25</v>
      </c>
      <c r="Q293" t="str">
        <f t="shared" si="13"/>
        <v>2014-04</v>
      </c>
      <c r="R293" s="3">
        <f t="shared" si="14"/>
        <v>1199.3253012048194</v>
      </c>
      <c r="S293" s="2" t="str">
        <f t="shared" si="12"/>
        <v>Success</v>
      </c>
    </row>
    <row r="294" spans="1:19" x14ac:dyDescent="0.3">
      <c r="A294" t="s">
        <v>359</v>
      </c>
      <c r="B294" s="1">
        <v>42864</v>
      </c>
      <c r="C294">
        <v>2017</v>
      </c>
      <c r="D294" s="2" t="s">
        <v>59</v>
      </c>
      <c r="E294" s="2" t="s">
        <v>63</v>
      </c>
      <c r="F294" s="2" t="s">
        <v>19</v>
      </c>
      <c r="G294" t="s">
        <v>56</v>
      </c>
      <c r="H294" s="3">
        <v>21.34</v>
      </c>
      <c r="I294" s="3">
        <v>109.14</v>
      </c>
      <c r="J294" s="3">
        <v>5114.4399999999996</v>
      </c>
      <c r="K294" s="1" t="s">
        <v>21</v>
      </c>
      <c r="L294" s="2" t="s">
        <v>41</v>
      </c>
      <c r="M294" s="3">
        <v>125.28</v>
      </c>
      <c r="N294" s="3">
        <v>861.66</v>
      </c>
      <c r="O294" s="2" t="s">
        <v>61</v>
      </c>
      <c r="P294" s="3">
        <v>24.05</v>
      </c>
      <c r="Q294" t="str">
        <f t="shared" si="13"/>
        <v>2017-05</v>
      </c>
      <c r="R294" s="3">
        <f t="shared" si="14"/>
        <v>239.66447985004683</v>
      </c>
      <c r="S294" s="2" t="str">
        <f t="shared" si="12"/>
        <v>Success</v>
      </c>
    </row>
    <row r="295" spans="1:19" x14ac:dyDescent="0.3">
      <c r="A295" t="s">
        <v>360</v>
      </c>
      <c r="B295" s="1">
        <v>43203</v>
      </c>
      <c r="C295">
        <v>2018</v>
      </c>
      <c r="D295" s="2" t="s">
        <v>36</v>
      </c>
      <c r="E295" s="2" t="s">
        <v>37</v>
      </c>
      <c r="F295" s="2" t="s">
        <v>19</v>
      </c>
      <c r="G295" t="s">
        <v>27</v>
      </c>
      <c r="H295" s="3">
        <v>12.66</v>
      </c>
      <c r="I295" s="3">
        <v>21.32</v>
      </c>
      <c r="J295" s="3">
        <v>1684.08</v>
      </c>
      <c r="K295" s="1" t="s">
        <v>21</v>
      </c>
      <c r="L295" s="2" t="s">
        <v>49</v>
      </c>
      <c r="M295" s="3">
        <v>174.43</v>
      </c>
      <c r="N295" s="3">
        <v>809</v>
      </c>
      <c r="O295" s="2" t="s">
        <v>70</v>
      </c>
      <c r="P295" s="3">
        <v>32.47</v>
      </c>
      <c r="Q295" t="str">
        <f t="shared" si="13"/>
        <v>2018-04</v>
      </c>
      <c r="R295" s="3">
        <f t="shared" si="14"/>
        <v>133.02369668246445</v>
      </c>
      <c r="S295" s="2" t="str">
        <f t="shared" si="12"/>
        <v>Success</v>
      </c>
    </row>
    <row r="296" spans="1:19" x14ac:dyDescent="0.3">
      <c r="A296" t="s">
        <v>361</v>
      </c>
      <c r="B296" s="1">
        <v>41937</v>
      </c>
      <c r="C296">
        <v>2014</v>
      </c>
      <c r="D296" s="2" t="s">
        <v>17</v>
      </c>
      <c r="E296" s="2" t="s">
        <v>72</v>
      </c>
      <c r="F296" s="2" t="s">
        <v>33</v>
      </c>
      <c r="G296" t="s">
        <v>64</v>
      </c>
      <c r="H296" s="3">
        <v>55.27</v>
      </c>
      <c r="I296" s="3">
        <v>357.16</v>
      </c>
      <c r="J296" s="3">
        <v>6462.14</v>
      </c>
      <c r="K296" s="1" t="s">
        <v>28</v>
      </c>
      <c r="L296" s="2" t="s">
        <v>29</v>
      </c>
      <c r="M296" s="3">
        <v>132.65</v>
      </c>
      <c r="N296" s="3">
        <v>202.74</v>
      </c>
      <c r="O296" s="2" t="s">
        <v>23</v>
      </c>
      <c r="P296" s="3">
        <v>33.6</v>
      </c>
      <c r="Q296" t="str">
        <f t="shared" si="13"/>
        <v>2014-10</v>
      </c>
      <c r="R296" s="3">
        <f t="shared" si="14"/>
        <v>116.91948615885653</v>
      </c>
      <c r="S296" s="2" t="str">
        <f t="shared" si="12"/>
        <v>Success</v>
      </c>
    </row>
    <row r="297" spans="1:19" x14ac:dyDescent="0.3">
      <c r="A297" t="s">
        <v>362</v>
      </c>
      <c r="B297" s="1">
        <v>44655</v>
      </c>
      <c r="C297">
        <v>2022</v>
      </c>
      <c r="D297" s="2" t="s">
        <v>103</v>
      </c>
      <c r="E297" s="2" t="s">
        <v>104</v>
      </c>
      <c r="F297" s="2" t="s">
        <v>19</v>
      </c>
      <c r="G297" t="s">
        <v>64</v>
      </c>
      <c r="H297" s="3">
        <v>72.63</v>
      </c>
      <c r="I297" s="3">
        <v>116.77</v>
      </c>
      <c r="J297" s="3">
        <v>1607.74</v>
      </c>
      <c r="K297" s="1" t="s">
        <v>34</v>
      </c>
      <c r="L297" s="2" t="s">
        <v>22</v>
      </c>
      <c r="M297" s="3">
        <v>211.08</v>
      </c>
      <c r="N297" s="3">
        <v>656.75</v>
      </c>
      <c r="O297" s="2" t="s">
        <v>70</v>
      </c>
      <c r="P297" s="3">
        <v>23.96</v>
      </c>
      <c r="Q297" t="str">
        <f t="shared" si="13"/>
        <v>2022-04</v>
      </c>
      <c r="R297" s="3">
        <f t="shared" si="14"/>
        <v>22.136031942723395</v>
      </c>
      <c r="S297" s="2" t="str">
        <f t="shared" si="12"/>
        <v>Success</v>
      </c>
    </row>
    <row r="298" spans="1:19" x14ac:dyDescent="0.3">
      <c r="A298" t="s">
        <v>363</v>
      </c>
      <c r="B298" s="1">
        <v>40518</v>
      </c>
      <c r="C298">
        <v>2010</v>
      </c>
      <c r="D298" s="2" t="s">
        <v>44</v>
      </c>
      <c r="E298" s="2" t="s">
        <v>45</v>
      </c>
      <c r="F298" s="2" t="s">
        <v>38</v>
      </c>
      <c r="G298" t="s">
        <v>20</v>
      </c>
      <c r="H298" s="3">
        <v>80.36</v>
      </c>
      <c r="I298" s="3">
        <v>231.13</v>
      </c>
      <c r="J298" s="3">
        <v>2876.24</v>
      </c>
      <c r="K298" s="1" t="s">
        <v>21</v>
      </c>
      <c r="L298" s="2" t="s">
        <v>41</v>
      </c>
      <c r="M298" s="3">
        <v>73.75</v>
      </c>
      <c r="N298" s="3">
        <v>958.2</v>
      </c>
      <c r="O298" s="2" t="s">
        <v>23</v>
      </c>
      <c r="P298" s="3">
        <v>20.149999999999999</v>
      </c>
      <c r="Q298" t="str">
        <f t="shared" si="13"/>
        <v>2010-12</v>
      </c>
      <c r="R298" s="3">
        <f t="shared" si="14"/>
        <v>35.791936286709806</v>
      </c>
      <c r="S298" s="2" t="str">
        <f t="shared" si="12"/>
        <v>Success</v>
      </c>
    </row>
    <row r="299" spans="1:19" x14ac:dyDescent="0.3">
      <c r="A299" t="s">
        <v>364</v>
      </c>
      <c r="B299" s="1">
        <v>42850</v>
      </c>
      <c r="C299">
        <v>2017</v>
      </c>
      <c r="D299" s="2" t="s">
        <v>31</v>
      </c>
      <c r="E299" s="2" t="s">
        <v>32</v>
      </c>
      <c r="F299" s="2" t="s">
        <v>19</v>
      </c>
      <c r="G299" t="s">
        <v>20</v>
      </c>
      <c r="H299" s="3">
        <v>87.97</v>
      </c>
      <c r="I299" s="3">
        <v>137.03</v>
      </c>
      <c r="J299" s="3">
        <v>1557.71</v>
      </c>
      <c r="K299" s="1" t="s">
        <v>34</v>
      </c>
      <c r="L299" s="2" t="s">
        <v>29</v>
      </c>
      <c r="M299" s="3">
        <v>95.72</v>
      </c>
      <c r="N299" s="3">
        <v>600.78</v>
      </c>
      <c r="O299" s="2" t="s">
        <v>52</v>
      </c>
      <c r="P299" s="3">
        <v>24.08</v>
      </c>
      <c r="Q299" t="str">
        <f t="shared" si="13"/>
        <v>2017-04</v>
      </c>
      <c r="R299" s="3">
        <f t="shared" si="14"/>
        <v>17.707286574968741</v>
      </c>
      <c r="S299" s="2" t="str">
        <f t="shared" si="12"/>
        <v>Success</v>
      </c>
    </row>
    <row r="300" spans="1:19" x14ac:dyDescent="0.3">
      <c r="A300" t="s">
        <v>365</v>
      </c>
      <c r="B300" s="1">
        <v>44095</v>
      </c>
      <c r="C300">
        <v>2020</v>
      </c>
      <c r="D300" s="2" t="s">
        <v>44</v>
      </c>
      <c r="E300" s="2" t="s">
        <v>99</v>
      </c>
      <c r="F300" s="2" t="s">
        <v>33</v>
      </c>
      <c r="G300" t="s">
        <v>64</v>
      </c>
      <c r="H300" s="3">
        <v>14.12</v>
      </c>
      <c r="I300" s="3">
        <v>75.66</v>
      </c>
      <c r="J300" s="3">
        <v>5358.47</v>
      </c>
      <c r="K300" s="1" t="s">
        <v>40</v>
      </c>
      <c r="L300" s="2" t="s">
        <v>41</v>
      </c>
      <c r="M300" s="3">
        <v>75.930000000000007</v>
      </c>
      <c r="N300" s="3">
        <v>1111.23</v>
      </c>
      <c r="O300" s="2" t="s">
        <v>52</v>
      </c>
      <c r="P300" s="3">
        <v>32.03</v>
      </c>
      <c r="Q300" t="str">
        <f t="shared" si="13"/>
        <v>2020-09</v>
      </c>
      <c r="R300" s="3">
        <f t="shared" si="14"/>
        <v>379.49504249291789</v>
      </c>
      <c r="S300" s="2" t="str">
        <f t="shared" si="12"/>
        <v>Success</v>
      </c>
    </row>
    <row r="301" spans="1:19" x14ac:dyDescent="0.3">
      <c r="A301" t="s">
        <v>366</v>
      </c>
      <c r="B301" s="1">
        <v>44882</v>
      </c>
      <c r="C301">
        <v>2022</v>
      </c>
      <c r="D301" s="2" t="s">
        <v>59</v>
      </c>
      <c r="E301" s="2" t="s">
        <v>63</v>
      </c>
      <c r="F301" s="2" t="s">
        <v>38</v>
      </c>
      <c r="G301" t="s">
        <v>27</v>
      </c>
      <c r="H301" s="3">
        <v>3.85</v>
      </c>
      <c r="I301" s="3">
        <v>19.66</v>
      </c>
      <c r="J301" s="3">
        <v>5106.78</v>
      </c>
      <c r="K301" s="1" t="s">
        <v>40</v>
      </c>
      <c r="L301" s="2" t="s">
        <v>49</v>
      </c>
      <c r="M301" s="3">
        <v>170.77</v>
      </c>
      <c r="N301" s="3">
        <v>688.12</v>
      </c>
      <c r="O301" s="2" t="s">
        <v>52</v>
      </c>
      <c r="P301" s="3">
        <v>26.61</v>
      </c>
      <c r="Q301" t="str">
        <f t="shared" si="13"/>
        <v>2022-11</v>
      </c>
      <c r="R301" s="3">
        <f t="shared" si="14"/>
        <v>1326.4363636363635</v>
      </c>
      <c r="S301" s="2" t="str">
        <f t="shared" si="12"/>
        <v>Success</v>
      </c>
    </row>
    <row r="302" spans="1:19" x14ac:dyDescent="0.3">
      <c r="A302" t="s">
        <v>367</v>
      </c>
      <c r="B302" s="1">
        <v>40313</v>
      </c>
      <c r="C302">
        <v>2010</v>
      </c>
      <c r="D302" s="2" t="s">
        <v>17</v>
      </c>
      <c r="E302" s="2" t="s">
        <v>72</v>
      </c>
      <c r="F302" s="2" t="s">
        <v>19</v>
      </c>
      <c r="G302" t="s">
        <v>39</v>
      </c>
      <c r="H302" s="3">
        <v>52.96</v>
      </c>
      <c r="I302" s="3">
        <v>289.25</v>
      </c>
      <c r="J302" s="3">
        <v>5461.74</v>
      </c>
      <c r="K302" s="1" t="s">
        <v>40</v>
      </c>
      <c r="L302" s="2" t="s">
        <v>47</v>
      </c>
      <c r="M302" s="3">
        <v>294.47000000000003</v>
      </c>
      <c r="N302" s="3">
        <v>869.84</v>
      </c>
      <c r="O302" s="2" t="s">
        <v>70</v>
      </c>
      <c r="P302" s="3">
        <v>27.79</v>
      </c>
      <c r="Q302" t="str">
        <f t="shared" si="13"/>
        <v>2010-05</v>
      </c>
      <c r="R302" s="3">
        <f t="shared" si="14"/>
        <v>103.12953172205438</v>
      </c>
      <c r="S302" s="2" t="str">
        <f t="shared" si="12"/>
        <v>Success</v>
      </c>
    </row>
    <row r="303" spans="1:19" x14ac:dyDescent="0.3">
      <c r="A303" t="s">
        <v>368</v>
      </c>
      <c r="B303" s="1">
        <v>43963</v>
      </c>
      <c r="C303">
        <v>2020</v>
      </c>
      <c r="D303" s="2" t="s">
        <v>25</v>
      </c>
      <c r="E303" s="2" t="s">
        <v>87</v>
      </c>
      <c r="F303" s="2" t="s">
        <v>19</v>
      </c>
      <c r="G303" t="s">
        <v>56</v>
      </c>
      <c r="H303" s="3">
        <v>48.71</v>
      </c>
      <c r="I303" s="3">
        <v>242.69</v>
      </c>
      <c r="J303" s="3">
        <v>4982.26</v>
      </c>
      <c r="K303" s="1" t="s">
        <v>28</v>
      </c>
      <c r="L303" s="2" t="s">
        <v>41</v>
      </c>
      <c r="M303" s="3">
        <v>87.16</v>
      </c>
      <c r="N303" s="3">
        <v>1026.44</v>
      </c>
      <c r="O303" s="2" t="s">
        <v>61</v>
      </c>
      <c r="P303" s="3">
        <v>20.82</v>
      </c>
      <c r="Q303" t="str">
        <f t="shared" si="13"/>
        <v>2020-05</v>
      </c>
      <c r="R303" s="3">
        <f t="shared" si="14"/>
        <v>102.28413056867173</v>
      </c>
      <c r="S303" s="2" t="str">
        <f t="shared" si="12"/>
        <v>Success</v>
      </c>
    </row>
    <row r="304" spans="1:19" x14ac:dyDescent="0.3">
      <c r="A304" t="s">
        <v>369</v>
      </c>
      <c r="B304" s="1">
        <v>42983</v>
      </c>
      <c r="C304">
        <v>2017</v>
      </c>
      <c r="D304" s="2" t="s">
        <v>59</v>
      </c>
      <c r="E304" s="2" t="s">
        <v>63</v>
      </c>
      <c r="F304" s="2" t="s">
        <v>33</v>
      </c>
      <c r="G304" t="s">
        <v>64</v>
      </c>
      <c r="H304" s="3">
        <v>75.39</v>
      </c>
      <c r="I304" s="3">
        <v>220.43</v>
      </c>
      <c r="J304" s="3">
        <v>2923.8</v>
      </c>
      <c r="K304" s="1" t="s">
        <v>34</v>
      </c>
      <c r="L304" s="2" t="s">
        <v>29</v>
      </c>
      <c r="M304" s="3">
        <v>292.54000000000002</v>
      </c>
      <c r="N304" s="3">
        <v>250.35</v>
      </c>
      <c r="O304" s="2" t="s">
        <v>42</v>
      </c>
      <c r="P304" s="3">
        <v>28.26</v>
      </c>
      <c r="Q304" t="str">
        <f t="shared" si="13"/>
        <v>2017-09</v>
      </c>
      <c r="R304" s="3">
        <f t="shared" si="14"/>
        <v>38.782331874253885</v>
      </c>
      <c r="S304" s="2" t="str">
        <f t="shared" si="12"/>
        <v>Success</v>
      </c>
    </row>
    <row r="305" spans="1:19" x14ac:dyDescent="0.3">
      <c r="A305" t="s">
        <v>370</v>
      </c>
      <c r="B305" s="1">
        <v>40852</v>
      </c>
      <c r="C305">
        <v>2011</v>
      </c>
      <c r="D305" s="2" t="s">
        <v>44</v>
      </c>
      <c r="E305" s="2" t="s">
        <v>45</v>
      </c>
      <c r="F305" s="2" t="s">
        <v>38</v>
      </c>
      <c r="G305" t="s">
        <v>46</v>
      </c>
      <c r="H305" s="3">
        <v>80.319999999999993</v>
      </c>
      <c r="I305" s="3">
        <v>296.27</v>
      </c>
      <c r="J305" s="3">
        <v>3688.59</v>
      </c>
      <c r="K305" s="1" t="s">
        <v>28</v>
      </c>
      <c r="L305" s="2" t="s">
        <v>22</v>
      </c>
      <c r="M305" s="3">
        <v>161.77000000000001</v>
      </c>
      <c r="N305" s="3">
        <v>318.70999999999998</v>
      </c>
      <c r="O305" s="2" t="s">
        <v>52</v>
      </c>
      <c r="P305" s="3">
        <v>31.18</v>
      </c>
      <c r="Q305" t="str">
        <f t="shared" si="13"/>
        <v>2011-11</v>
      </c>
      <c r="R305" s="3">
        <f t="shared" si="14"/>
        <v>45.923680278884468</v>
      </c>
      <c r="S305" s="2" t="str">
        <f t="shared" si="12"/>
        <v>Success</v>
      </c>
    </row>
    <row r="306" spans="1:19" x14ac:dyDescent="0.3">
      <c r="A306" t="s">
        <v>371</v>
      </c>
      <c r="B306" s="1">
        <v>40292</v>
      </c>
      <c r="C306">
        <v>2010</v>
      </c>
      <c r="D306" s="2" t="s">
        <v>36</v>
      </c>
      <c r="E306" s="2" t="s">
        <v>51</v>
      </c>
      <c r="F306" s="2" t="s">
        <v>19</v>
      </c>
      <c r="G306" t="s">
        <v>27</v>
      </c>
      <c r="H306" s="3">
        <v>1.02</v>
      </c>
      <c r="I306" s="3">
        <v>1.58</v>
      </c>
      <c r="J306" s="3">
        <v>1545.37</v>
      </c>
      <c r="K306" s="1" t="s">
        <v>34</v>
      </c>
      <c r="L306" s="2" t="s">
        <v>22</v>
      </c>
      <c r="M306" s="3">
        <v>272.52999999999997</v>
      </c>
      <c r="N306" s="3">
        <v>762.33</v>
      </c>
      <c r="O306" s="2" t="s">
        <v>52</v>
      </c>
      <c r="P306" s="3">
        <v>34.26</v>
      </c>
      <c r="Q306" t="str">
        <f t="shared" si="13"/>
        <v>2010-04</v>
      </c>
      <c r="R306" s="3">
        <f t="shared" si="14"/>
        <v>1515.0686274509803</v>
      </c>
      <c r="S306" s="2" t="str">
        <f t="shared" si="12"/>
        <v>Success</v>
      </c>
    </row>
    <row r="307" spans="1:19" x14ac:dyDescent="0.3">
      <c r="A307" t="s">
        <v>372</v>
      </c>
      <c r="B307" s="1">
        <v>43130</v>
      </c>
      <c r="C307">
        <v>2017</v>
      </c>
      <c r="D307" s="2" t="s">
        <v>44</v>
      </c>
      <c r="E307" s="2" t="s">
        <v>45</v>
      </c>
      <c r="F307" s="2" t="s">
        <v>38</v>
      </c>
      <c r="G307" t="s">
        <v>27</v>
      </c>
      <c r="H307" s="3">
        <v>76.97</v>
      </c>
      <c r="I307" s="3">
        <v>354.04</v>
      </c>
      <c r="J307" s="3">
        <v>4599.71</v>
      </c>
      <c r="K307" s="1" t="s">
        <v>34</v>
      </c>
      <c r="L307" s="2" t="s">
        <v>49</v>
      </c>
      <c r="M307" s="3">
        <v>228.98</v>
      </c>
      <c r="N307" s="3">
        <v>314.02</v>
      </c>
      <c r="O307" s="2" t="s">
        <v>42</v>
      </c>
      <c r="P307" s="3">
        <v>20.03</v>
      </c>
      <c r="Q307" t="str">
        <f t="shared" si="13"/>
        <v>2018-01</v>
      </c>
      <c r="R307" s="3">
        <f t="shared" si="14"/>
        <v>59.759776536312849</v>
      </c>
      <c r="S307" s="2" t="str">
        <f t="shared" si="12"/>
        <v>Success</v>
      </c>
    </row>
    <row r="308" spans="1:19" x14ac:dyDescent="0.3">
      <c r="A308" t="s">
        <v>373</v>
      </c>
      <c r="B308" s="1">
        <v>42134</v>
      </c>
      <c r="C308">
        <v>2015</v>
      </c>
      <c r="D308" s="2" t="s">
        <v>59</v>
      </c>
      <c r="E308" s="2" t="s">
        <v>93</v>
      </c>
      <c r="F308" s="2" t="s">
        <v>19</v>
      </c>
      <c r="G308" t="s">
        <v>64</v>
      </c>
      <c r="H308" s="3">
        <v>5.53</v>
      </c>
      <c r="I308" s="3">
        <v>10.98</v>
      </c>
      <c r="J308" s="3">
        <v>1984.93</v>
      </c>
      <c r="K308" s="1" t="s">
        <v>40</v>
      </c>
      <c r="L308" s="2" t="s">
        <v>41</v>
      </c>
      <c r="M308" s="3">
        <v>255.46</v>
      </c>
      <c r="N308" s="3">
        <v>942.51</v>
      </c>
      <c r="O308" s="2" t="s">
        <v>52</v>
      </c>
      <c r="P308" s="3">
        <v>21.6</v>
      </c>
      <c r="Q308" t="str">
        <f t="shared" si="13"/>
        <v>2015-05</v>
      </c>
      <c r="R308" s="3">
        <f t="shared" si="14"/>
        <v>358.93851717902351</v>
      </c>
      <c r="S308" s="2" t="str">
        <f t="shared" si="12"/>
        <v>Success</v>
      </c>
    </row>
    <row r="309" spans="1:19" x14ac:dyDescent="0.3">
      <c r="A309" t="s">
        <v>374</v>
      </c>
      <c r="B309" s="1">
        <v>42637</v>
      </c>
      <c r="C309">
        <v>2016</v>
      </c>
      <c r="D309" s="2" t="s">
        <v>103</v>
      </c>
      <c r="E309" s="2" t="s">
        <v>104</v>
      </c>
      <c r="F309" s="2" t="s">
        <v>33</v>
      </c>
      <c r="G309" t="s">
        <v>46</v>
      </c>
      <c r="H309" s="3">
        <v>82.63</v>
      </c>
      <c r="I309" s="3">
        <v>177.11</v>
      </c>
      <c r="J309" s="3">
        <v>2143.4699999999998</v>
      </c>
      <c r="K309" s="1" t="s">
        <v>34</v>
      </c>
      <c r="L309" s="2" t="s">
        <v>29</v>
      </c>
      <c r="M309" s="3">
        <v>76.94</v>
      </c>
      <c r="N309" s="3">
        <v>614.47</v>
      </c>
      <c r="O309" s="2" t="s">
        <v>61</v>
      </c>
      <c r="P309" s="3">
        <v>21.85</v>
      </c>
      <c r="Q309" t="str">
        <f t="shared" si="13"/>
        <v>2016-09</v>
      </c>
      <c r="R309" s="3">
        <f t="shared" si="14"/>
        <v>25.940578482391381</v>
      </c>
      <c r="S309" s="2" t="str">
        <f t="shared" si="12"/>
        <v>Success</v>
      </c>
    </row>
    <row r="310" spans="1:19" x14ac:dyDescent="0.3">
      <c r="A310" t="s">
        <v>375</v>
      </c>
      <c r="B310" s="1">
        <v>43297</v>
      </c>
      <c r="C310">
        <v>2018</v>
      </c>
      <c r="D310" s="2" t="s">
        <v>17</v>
      </c>
      <c r="E310" s="2" t="s">
        <v>54</v>
      </c>
      <c r="F310" s="2" t="s">
        <v>33</v>
      </c>
      <c r="G310" t="s">
        <v>46</v>
      </c>
      <c r="H310" s="3">
        <v>1.43</v>
      </c>
      <c r="I310" s="3">
        <v>7.75</v>
      </c>
      <c r="J310" s="3">
        <v>5417.28</v>
      </c>
      <c r="K310" s="1" t="s">
        <v>28</v>
      </c>
      <c r="L310" s="2" t="s">
        <v>47</v>
      </c>
      <c r="M310" s="3">
        <v>259.7</v>
      </c>
      <c r="N310" s="3">
        <v>682.93</v>
      </c>
      <c r="O310" s="2" t="s">
        <v>61</v>
      </c>
      <c r="P310" s="3">
        <v>31.72</v>
      </c>
      <c r="Q310" t="str">
        <f t="shared" si="13"/>
        <v>2018-07</v>
      </c>
      <c r="R310" s="3">
        <f t="shared" si="14"/>
        <v>3788.3076923076924</v>
      </c>
      <c r="S310" s="2" t="str">
        <f t="shared" si="12"/>
        <v>Success</v>
      </c>
    </row>
    <row r="311" spans="1:19" x14ac:dyDescent="0.3">
      <c r="A311" t="s">
        <v>376</v>
      </c>
      <c r="B311" s="1">
        <v>41124</v>
      </c>
      <c r="C311">
        <v>2012</v>
      </c>
      <c r="D311" s="2" t="s">
        <v>103</v>
      </c>
      <c r="E311" s="2" t="s">
        <v>228</v>
      </c>
      <c r="F311" s="2" t="s">
        <v>33</v>
      </c>
      <c r="G311" t="s">
        <v>46</v>
      </c>
      <c r="H311" s="3">
        <v>66.09</v>
      </c>
      <c r="I311" s="3">
        <v>306.45999999999998</v>
      </c>
      <c r="J311" s="3">
        <v>4636.96</v>
      </c>
      <c r="K311" s="1" t="s">
        <v>34</v>
      </c>
      <c r="L311" s="2" t="s">
        <v>49</v>
      </c>
      <c r="M311" s="3">
        <v>176.03</v>
      </c>
      <c r="N311" s="3">
        <v>584.66</v>
      </c>
      <c r="O311" s="2" t="s">
        <v>61</v>
      </c>
      <c r="P311" s="3">
        <v>33.74</v>
      </c>
      <c r="Q311" t="str">
        <f t="shared" si="13"/>
        <v>2012-08</v>
      </c>
      <c r="R311" s="3">
        <f t="shared" si="14"/>
        <v>70.161295203510363</v>
      </c>
      <c r="S311" s="2" t="str">
        <f t="shared" si="12"/>
        <v>Success</v>
      </c>
    </row>
    <row r="312" spans="1:19" x14ac:dyDescent="0.3">
      <c r="A312" t="s">
        <v>377</v>
      </c>
      <c r="B312" s="1">
        <v>42085</v>
      </c>
      <c r="C312">
        <v>2014</v>
      </c>
      <c r="D312" s="2" t="s">
        <v>36</v>
      </c>
      <c r="E312" s="2" t="s">
        <v>51</v>
      </c>
      <c r="F312" s="2" t="s">
        <v>38</v>
      </c>
      <c r="G312" t="s">
        <v>56</v>
      </c>
      <c r="H312" s="3">
        <v>14.68</v>
      </c>
      <c r="I312" s="3">
        <v>67.75</v>
      </c>
      <c r="J312" s="3">
        <v>4615.1499999999996</v>
      </c>
      <c r="K312" s="1" t="s">
        <v>34</v>
      </c>
      <c r="L312" s="2" t="s">
        <v>41</v>
      </c>
      <c r="M312" s="3">
        <v>260.77</v>
      </c>
      <c r="N312" s="3">
        <v>747.81</v>
      </c>
      <c r="O312" s="2" t="s">
        <v>70</v>
      </c>
      <c r="P312" s="3">
        <v>30.68</v>
      </c>
      <c r="Q312" t="str">
        <f t="shared" si="13"/>
        <v>2015-03</v>
      </c>
      <c r="R312" s="3">
        <f t="shared" si="14"/>
        <v>314.38351498637599</v>
      </c>
      <c r="S312" s="2" t="str">
        <f t="shared" si="12"/>
        <v>Success</v>
      </c>
    </row>
    <row r="313" spans="1:19" x14ac:dyDescent="0.3">
      <c r="A313" t="s">
        <v>378</v>
      </c>
      <c r="B313" s="1">
        <v>43600</v>
      </c>
      <c r="C313">
        <v>2019</v>
      </c>
      <c r="D313" s="2" t="s">
        <v>103</v>
      </c>
      <c r="E313" s="2" t="s">
        <v>104</v>
      </c>
      <c r="F313" s="2" t="s">
        <v>19</v>
      </c>
      <c r="G313" t="s">
        <v>20</v>
      </c>
      <c r="H313" s="3">
        <v>68.97</v>
      </c>
      <c r="I313" s="3">
        <v>450.18</v>
      </c>
      <c r="J313" s="3">
        <v>6527.15</v>
      </c>
      <c r="K313" s="1" t="s">
        <v>40</v>
      </c>
      <c r="L313" s="2" t="s">
        <v>49</v>
      </c>
      <c r="M313" s="3">
        <v>295.33</v>
      </c>
      <c r="N313" s="3">
        <v>850.09</v>
      </c>
      <c r="O313" s="2" t="s">
        <v>42</v>
      </c>
      <c r="P313" s="3">
        <v>27.56</v>
      </c>
      <c r="Q313" t="str">
        <f t="shared" si="13"/>
        <v>2019-05</v>
      </c>
      <c r="R313" s="3">
        <f t="shared" si="14"/>
        <v>94.637523560968532</v>
      </c>
      <c r="S313" s="2" t="str">
        <f t="shared" si="12"/>
        <v>Success</v>
      </c>
    </row>
    <row r="314" spans="1:19" x14ac:dyDescent="0.3">
      <c r="A314" t="s">
        <v>379</v>
      </c>
      <c r="B314" s="1">
        <v>44974</v>
      </c>
      <c r="C314">
        <v>2022</v>
      </c>
      <c r="D314" s="2" t="s">
        <v>17</v>
      </c>
      <c r="E314" s="2" t="s">
        <v>18</v>
      </c>
      <c r="F314" s="2" t="s">
        <v>38</v>
      </c>
      <c r="G314" t="s">
        <v>27</v>
      </c>
      <c r="H314" s="3">
        <v>48.56</v>
      </c>
      <c r="I314" s="3">
        <v>214.82</v>
      </c>
      <c r="J314" s="3">
        <v>4423.83</v>
      </c>
      <c r="K314" s="1" t="s">
        <v>28</v>
      </c>
      <c r="L314" s="2" t="s">
        <v>22</v>
      </c>
      <c r="M314" s="3">
        <v>218.56</v>
      </c>
      <c r="N314" s="3">
        <v>1093.8699999999999</v>
      </c>
      <c r="O314" s="2" t="s">
        <v>61</v>
      </c>
      <c r="P314" s="3">
        <v>24.29</v>
      </c>
      <c r="Q314" t="str">
        <f t="shared" si="13"/>
        <v>2023-02</v>
      </c>
      <c r="R314" s="3">
        <f t="shared" si="14"/>
        <v>91.100288303130142</v>
      </c>
      <c r="S314" s="2" t="str">
        <f t="shared" si="12"/>
        <v>Success</v>
      </c>
    </row>
    <row r="315" spans="1:19" x14ac:dyDescent="0.3">
      <c r="A315" t="s">
        <v>380</v>
      </c>
      <c r="B315" s="1">
        <v>40520</v>
      </c>
      <c r="C315">
        <v>2010</v>
      </c>
      <c r="D315" s="2" t="s">
        <v>59</v>
      </c>
      <c r="E315" s="2" t="s">
        <v>60</v>
      </c>
      <c r="F315" s="2" t="s">
        <v>38</v>
      </c>
      <c r="G315" t="s">
        <v>56</v>
      </c>
      <c r="H315" s="3">
        <v>6.25</v>
      </c>
      <c r="I315" s="3">
        <v>8.3699999999999992</v>
      </c>
      <c r="J315" s="3">
        <v>1339.63</v>
      </c>
      <c r="K315" s="1" t="s">
        <v>34</v>
      </c>
      <c r="L315" s="2" t="s">
        <v>22</v>
      </c>
      <c r="M315" s="3">
        <v>237.55</v>
      </c>
      <c r="N315" s="3">
        <v>360.94</v>
      </c>
      <c r="O315" s="2" t="s">
        <v>70</v>
      </c>
      <c r="P315" s="3">
        <v>30.25</v>
      </c>
      <c r="Q315" t="str">
        <f t="shared" si="13"/>
        <v>2010-12</v>
      </c>
      <c r="R315" s="3">
        <f t="shared" si="14"/>
        <v>214.34080000000003</v>
      </c>
      <c r="S315" s="2" t="str">
        <f t="shared" si="12"/>
        <v>Success</v>
      </c>
    </row>
    <row r="316" spans="1:19" x14ac:dyDescent="0.3">
      <c r="A316" t="s">
        <v>381</v>
      </c>
      <c r="B316" s="1">
        <v>41415</v>
      </c>
      <c r="C316">
        <v>2013</v>
      </c>
      <c r="D316" s="2" t="s">
        <v>17</v>
      </c>
      <c r="E316" s="2" t="s">
        <v>72</v>
      </c>
      <c r="F316" s="2" t="s">
        <v>19</v>
      </c>
      <c r="G316" t="s">
        <v>64</v>
      </c>
      <c r="H316" s="3">
        <v>36.51</v>
      </c>
      <c r="I316" s="3">
        <v>135.66</v>
      </c>
      <c r="J316" s="3">
        <v>3715.57</v>
      </c>
      <c r="K316" s="1" t="s">
        <v>40</v>
      </c>
      <c r="L316" s="2" t="s">
        <v>49</v>
      </c>
      <c r="M316" s="3">
        <v>235.6</v>
      </c>
      <c r="N316" s="3">
        <v>761.27</v>
      </c>
      <c r="O316" s="2" t="s">
        <v>42</v>
      </c>
      <c r="P316" s="3">
        <v>27.66</v>
      </c>
      <c r="Q316" t="str">
        <f t="shared" si="13"/>
        <v>2013-05</v>
      </c>
      <c r="R316" s="3">
        <f t="shared" si="14"/>
        <v>101.76855655984663</v>
      </c>
      <c r="S316" s="2" t="str">
        <f t="shared" si="12"/>
        <v>Success</v>
      </c>
    </row>
    <row r="317" spans="1:19" x14ac:dyDescent="0.3">
      <c r="A317" t="s">
        <v>382</v>
      </c>
      <c r="B317" s="1">
        <v>40596</v>
      </c>
      <c r="C317">
        <v>2010</v>
      </c>
      <c r="D317" s="2" t="s">
        <v>17</v>
      </c>
      <c r="E317" s="2" t="s">
        <v>54</v>
      </c>
      <c r="F317" s="2" t="s">
        <v>38</v>
      </c>
      <c r="G317" t="s">
        <v>46</v>
      </c>
      <c r="H317" s="3">
        <v>42.24</v>
      </c>
      <c r="I317" s="3">
        <v>241.98</v>
      </c>
      <c r="J317" s="3">
        <v>5728.67</v>
      </c>
      <c r="K317" s="1" t="s">
        <v>34</v>
      </c>
      <c r="L317" s="2" t="s">
        <v>41</v>
      </c>
      <c r="M317" s="3">
        <v>291.45999999999998</v>
      </c>
      <c r="N317" s="3">
        <v>253.8</v>
      </c>
      <c r="O317" s="2" t="s">
        <v>70</v>
      </c>
      <c r="P317" s="3">
        <v>23.05</v>
      </c>
      <c r="Q317" t="str">
        <f t="shared" si="13"/>
        <v>2011-02</v>
      </c>
      <c r="R317" s="3">
        <f t="shared" si="14"/>
        <v>135.62192234848484</v>
      </c>
      <c r="S317" s="2" t="str">
        <f t="shared" si="12"/>
        <v>Success</v>
      </c>
    </row>
    <row r="318" spans="1:19" x14ac:dyDescent="0.3">
      <c r="A318" t="s">
        <v>383</v>
      </c>
      <c r="B318" s="1">
        <v>44330</v>
      </c>
      <c r="C318">
        <v>2021</v>
      </c>
      <c r="D318" s="2" t="s">
        <v>17</v>
      </c>
      <c r="E318" s="2" t="s">
        <v>54</v>
      </c>
      <c r="F318" s="2" t="s">
        <v>19</v>
      </c>
      <c r="G318" t="s">
        <v>20</v>
      </c>
      <c r="H318" s="3">
        <v>75.760000000000005</v>
      </c>
      <c r="I318" s="3">
        <v>324.23</v>
      </c>
      <c r="J318" s="3">
        <v>4279.6899999999996</v>
      </c>
      <c r="K318" s="1" t="s">
        <v>40</v>
      </c>
      <c r="L318" s="2" t="s">
        <v>22</v>
      </c>
      <c r="M318" s="3">
        <v>244.04</v>
      </c>
      <c r="N318" s="3">
        <v>1164.29</v>
      </c>
      <c r="O318" s="2" t="s">
        <v>70</v>
      </c>
      <c r="P318" s="3">
        <v>26.73</v>
      </c>
      <c r="Q318" t="str">
        <f t="shared" si="13"/>
        <v>2021-05</v>
      </c>
      <c r="R318" s="3">
        <f t="shared" si="14"/>
        <v>56.490100316789857</v>
      </c>
      <c r="S318" s="2" t="str">
        <f t="shared" si="12"/>
        <v>Success</v>
      </c>
    </row>
    <row r="319" spans="1:19" x14ac:dyDescent="0.3">
      <c r="A319" t="s">
        <v>384</v>
      </c>
      <c r="B319" s="1">
        <v>44316</v>
      </c>
      <c r="C319">
        <v>2021</v>
      </c>
      <c r="D319" s="2" t="s">
        <v>103</v>
      </c>
      <c r="E319" s="2" t="s">
        <v>104</v>
      </c>
      <c r="F319" s="2" t="s">
        <v>19</v>
      </c>
      <c r="G319" t="s">
        <v>64</v>
      </c>
      <c r="H319" s="3">
        <v>38.340000000000003</v>
      </c>
      <c r="I319" s="3">
        <v>136.91</v>
      </c>
      <c r="J319" s="3">
        <v>3571.05</v>
      </c>
      <c r="K319" s="1" t="s">
        <v>34</v>
      </c>
      <c r="L319" s="2" t="s">
        <v>41</v>
      </c>
      <c r="M319" s="3">
        <v>82.52</v>
      </c>
      <c r="N319" s="3">
        <v>783.99</v>
      </c>
      <c r="O319" s="2" t="s">
        <v>70</v>
      </c>
      <c r="P319" s="3">
        <v>20.079999999999998</v>
      </c>
      <c r="Q319" t="str">
        <f t="shared" si="13"/>
        <v>2021-04</v>
      </c>
      <c r="R319" s="3">
        <f t="shared" si="14"/>
        <v>93.141627543035995</v>
      </c>
      <c r="S319" s="2" t="str">
        <f t="shared" si="12"/>
        <v>Success</v>
      </c>
    </row>
    <row r="320" spans="1:19" x14ac:dyDescent="0.3">
      <c r="A320" t="s">
        <v>385</v>
      </c>
      <c r="B320" s="1">
        <v>42140</v>
      </c>
      <c r="C320">
        <v>2015</v>
      </c>
      <c r="D320" s="2" t="s">
        <v>25</v>
      </c>
      <c r="E320" s="2" t="s">
        <v>26</v>
      </c>
      <c r="F320" s="2" t="s">
        <v>19</v>
      </c>
      <c r="G320" t="s">
        <v>64</v>
      </c>
      <c r="H320" s="3">
        <v>77.59</v>
      </c>
      <c r="I320" s="3">
        <v>368.72</v>
      </c>
      <c r="J320" s="3">
        <v>4752.2</v>
      </c>
      <c r="K320" s="1" t="s">
        <v>34</v>
      </c>
      <c r="L320" s="2" t="s">
        <v>49</v>
      </c>
      <c r="M320" s="3">
        <v>172.64</v>
      </c>
      <c r="N320" s="3">
        <v>772.68</v>
      </c>
      <c r="O320" s="2" t="s">
        <v>70</v>
      </c>
      <c r="P320" s="3">
        <v>21.09</v>
      </c>
      <c r="Q320" t="str">
        <f t="shared" si="13"/>
        <v>2015-05</v>
      </c>
      <c r="R320" s="3">
        <f t="shared" si="14"/>
        <v>61.247583451475698</v>
      </c>
      <c r="S320" s="2" t="str">
        <f t="shared" si="12"/>
        <v>Success</v>
      </c>
    </row>
    <row r="321" spans="1:19" x14ac:dyDescent="0.3">
      <c r="A321" t="s">
        <v>386</v>
      </c>
      <c r="B321" s="1">
        <v>41021</v>
      </c>
      <c r="C321">
        <v>2012</v>
      </c>
      <c r="D321" s="2" t="s">
        <v>59</v>
      </c>
      <c r="E321" s="2" t="s">
        <v>60</v>
      </c>
      <c r="F321" s="2" t="s">
        <v>19</v>
      </c>
      <c r="G321" t="s">
        <v>64</v>
      </c>
      <c r="H321" s="3">
        <v>78.84</v>
      </c>
      <c r="I321" s="3">
        <v>154.22999999999999</v>
      </c>
      <c r="J321" s="3">
        <v>1956.22</v>
      </c>
      <c r="K321" s="1" t="s">
        <v>28</v>
      </c>
      <c r="L321" s="2" t="s">
        <v>49</v>
      </c>
      <c r="M321" s="3">
        <v>72.989999999999995</v>
      </c>
      <c r="N321" s="3">
        <v>421.2</v>
      </c>
      <c r="O321" s="2" t="s">
        <v>42</v>
      </c>
      <c r="P321" s="3">
        <v>29.95</v>
      </c>
      <c r="Q321" t="str">
        <f t="shared" si="13"/>
        <v>2012-04</v>
      </c>
      <c r="R321" s="3">
        <f t="shared" si="14"/>
        <v>24.812531709791983</v>
      </c>
      <c r="S321" s="2" t="str">
        <f t="shared" si="12"/>
        <v>Success</v>
      </c>
    </row>
    <row r="322" spans="1:19" x14ac:dyDescent="0.3">
      <c r="A322" t="s">
        <v>387</v>
      </c>
      <c r="B322" s="1">
        <v>44691</v>
      </c>
      <c r="C322">
        <v>2022</v>
      </c>
      <c r="D322" s="2" t="s">
        <v>31</v>
      </c>
      <c r="E322" s="2" t="s">
        <v>82</v>
      </c>
      <c r="F322" s="2" t="s">
        <v>19</v>
      </c>
      <c r="G322" t="s">
        <v>27</v>
      </c>
      <c r="H322" s="3">
        <v>48.01</v>
      </c>
      <c r="I322" s="3">
        <v>209.71</v>
      </c>
      <c r="J322" s="3">
        <v>4368.01</v>
      </c>
      <c r="K322" s="1" t="s">
        <v>21</v>
      </c>
      <c r="L322" s="2" t="s">
        <v>47</v>
      </c>
      <c r="M322" s="3">
        <v>78.680000000000007</v>
      </c>
      <c r="N322" s="3">
        <v>546.01</v>
      </c>
      <c r="O322" s="2" t="s">
        <v>42</v>
      </c>
      <c r="P322" s="3">
        <v>33.57</v>
      </c>
      <c r="Q322" t="str">
        <f t="shared" si="13"/>
        <v>2022-05</v>
      </c>
      <c r="R322" s="3">
        <f t="shared" si="14"/>
        <v>90.981253905436375</v>
      </c>
      <c r="S322" s="2" t="str">
        <f t="shared" ref="S322:S385" si="15">IF(R322&lt;=0, "Failure","Success")</f>
        <v>Success</v>
      </c>
    </row>
    <row r="323" spans="1:19" x14ac:dyDescent="0.3">
      <c r="A323" t="s">
        <v>388</v>
      </c>
      <c r="B323" s="1">
        <v>44231</v>
      </c>
      <c r="C323">
        <v>2020</v>
      </c>
      <c r="D323" s="2" t="s">
        <v>103</v>
      </c>
      <c r="E323" s="2" t="s">
        <v>104</v>
      </c>
      <c r="F323" s="2" t="s">
        <v>38</v>
      </c>
      <c r="G323" t="s">
        <v>46</v>
      </c>
      <c r="H323" s="3">
        <v>91.68</v>
      </c>
      <c r="I323" s="3">
        <v>611.5</v>
      </c>
      <c r="J323" s="3">
        <v>6669.93</v>
      </c>
      <c r="K323" s="1" t="s">
        <v>28</v>
      </c>
      <c r="L323" s="2" t="s">
        <v>47</v>
      </c>
      <c r="M323" s="3">
        <v>114.15</v>
      </c>
      <c r="N323" s="3">
        <v>923.98</v>
      </c>
      <c r="O323" s="2" t="s">
        <v>23</v>
      </c>
      <c r="P323" s="3">
        <v>33.67</v>
      </c>
      <c r="Q323" t="str">
        <f t="shared" ref="Q323:Q386" si="16">TEXT(B323,"yyyy-mm")</f>
        <v>2021-02</v>
      </c>
      <c r="R323" s="3">
        <f t="shared" ref="R323:R386" si="17">J323/H323</f>
        <v>72.752290575916234</v>
      </c>
      <c r="S323" s="2" t="str">
        <f t="shared" si="15"/>
        <v>Success</v>
      </c>
    </row>
    <row r="324" spans="1:19" x14ac:dyDescent="0.3">
      <c r="A324" t="s">
        <v>389</v>
      </c>
      <c r="B324" s="1">
        <v>43177</v>
      </c>
      <c r="C324">
        <v>2017</v>
      </c>
      <c r="D324" s="2" t="s">
        <v>44</v>
      </c>
      <c r="E324" s="2" t="s">
        <v>67</v>
      </c>
      <c r="F324" s="2" t="s">
        <v>38</v>
      </c>
      <c r="G324" t="s">
        <v>64</v>
      </c>
      <c r="H324" s="3">
        <v>30.35</v>
      </c>
      <c r="I324" s="3">
        <v>148.99</v>
      </c>
      <c r="J324" s="3">
        <v>4909.17</v>
      </c>
      <c r="K324" s="1" t="s">
        <v>34</v>
      </c>
      <c r="L324" s="2" t="s">
        <v>47</v>
      </c>
      <c r="M324" s="3">
        <v>178.47</v>
      </c>
      <c r="N324" s="3">
        <v>1148.21</v>
      </c>
      <c r="O324" s="2" t="s">
        <v>42</v>
      </c>
      <c r="P324" s="3">
        <v>34.57</v>
      </c>
      <c r="Q324" t="str">
        <f t="shared" si="16"/>
        <v>2018-03</v>
      </c>
      <c r="R324" s="3">
        <f t="shared" si="17"/>
        <v>161.75189456342667</v>
      </c>
      <c r="S324" s="2" t="str">
        <f t="shared" si="15"/>
        <v>Success</v>
      </c>
    </row>
    <row r="325" spans="1:19" x14ac:dyDescent="0.3">
      <c r="A325" t="s">
        <v>390</v>
      </c>
      <c r="B325" s="1">
        <v>40713</v>
      </c>
      <c r="C325">
        <v>2011</v>
      </c>
      <c r="D325" s="2" t="s">
        <v>25</v>
      </c>
      <c r="E325" s="2" t="s">
        <v>69</v>
      </c>
      <c r="F325" s="2" t="s">
        <v>33</v>
      </c>
      <c r="G325" t="s">
        <v>39</v>
      </c>
      <c r="H325" s="3">
        <v>63.32</v>
      </c>
      <c r="I325" s="3">
        <v>144.31</v>
      </c>
      <c r="J325" s="3">
        <v>2279.0500000000002</v>
      </c>
      <c r="K325" s="1" t="s">
        <v>28</v>
      </c>
      <c r="L325" s="2" t="s">
        <v>41</v>
      </c>
      <c r="M325" s="3">
        <v>258.92</v>
      </c>
      <c r="N325" s="3">
        <v>405.58</v>
      </c>
      <c r="O325" s="2" t="s">
        <v>52</v>
      </c>
      <c r="P325" s="3">
        <v>29.7</v>
      </c>
      <c r="Q325" t="str">
        <f t="shared" si="16"/>
        <v>2011-06</v>
      </c>
      <c r="R325" s="3">
        <f t="shared" si="17"/>
        <v>35.992577384712575</v>
      </c>
      <c r="S325" s="2" t="str">
        <f t="shared" si="15"/>
        <v>Success</v>
      </c>
    </row>
    <row r="326" spans="1:19" x14ac:dyDescent="0.3">
      <c r="A326" t="s">
        <v>391</v>
      </c>
      <c r="B326" s="1">
        <v>44605</v>
      </c>
      <c r="C326">
        <v>2021</v>
      </c>
      <c r="D326" s="2" t="s">
        <v>25</v>
      </c>
      <c r="E326" s="2" t="s">
        <v>87</v>
      </c>
      <c r="F326" s="2" t="s">
        <v>38</v>
      </c>
      <c r="G326" t="s">
        <v>64</v>
      </c>
      <c r="H326" s="3">
        <v>9.66</v>
      </c>
      <c r="I326" s="3">
        <v>12.81</v>
      </c>
      <c r="J326" s="3">
        <v>1325.61</v>
      </c>
      <c r="K326" s="1" t="s">
        <v>34</v>
      </c>
      <c r="L326" s="2" t="s">
        <v>29</v>
      </c>
      <c r="M326" s="3">
        <v>189.52</v>
      </c>
      <c r="N326" s="3">
        <v>774.96</v>
      </c>
      <c r="O326" s="2" t="s">
        <v>42</v>
      </c>
      <c r="P326" s="3">
        <v>33.659999999999997</v>
      </c>
      <c r="Q326" t="str">
        <f t="shared" si="16"/>
        <v>2022-02</v>
      </c>
      <c r="R326" s="3">
        <f t="shared" si="17"/>
        <v>137.22670807453414</v>
      </c>
      <c r="S326" s="2" t="str">
        <f t="shared" si="15"/>
        <v>Success</v>
      </c>
    </row>
    <row r="327" spans="1:19" x14ac:dyDescent="0.3">
      <c r="A327" t="s">
        <v>392</v>
      </c>
      <c r="B327" s="1">
        <v>42693</v>
      </c>
      <c r="C327">
        <v>2016</v>
      </c>
      <c r="D327" s="2" t="s">
        <v>36</v>
      </c>
      <c r="E327" s="2" t="s">
        <v>77</v>
      </c>
      <c r="F327" s="2" t="s">
        <v>38</v>
      </c>
      <c r="G327" t="s">
        <v>20</v>
      </c>
      <c r="H327" s="3">
        <v>2.67</v>
      </c>
      <c r="I327" s="3">
        <v>13.46</v>
      </c>
      <c r="J327" s="3">
        <v>5039.79</v>
      </c>
      <c r="K327" s="1" t="s">
        <v>21</v>
      </c>
      <c r="L327" s="2" t="s">
        <v>49</v>
      </c>
      <c r="M327" s="3">
        <v>210.36</v>
      </c>
      <c r="N327" s="3">
        <v>818.35</v>
      </c>
      <c r="O327" s="2" t="s">
        <v>61</v>
      </c>
      <c r="P327" s="3">
        <v>20.68</v>
      </c>
      <c r="Q327" t="str">
        <f t="shared" si="16"/>
        <v>2016-11</v>
      </c>
      <c r="R327" s="3">
        <f t="shared" si="17"/>
        <v>1887.5617977528091</v>
      </c>
      <c r="S327" s="2" t="str">
        <f t="shared" si="15"/>
        <v>Success</v>
      </c>
    </row>
    <row r="328" spans="1:19" x14ac:dyDescent="0.3">
      <c r="A328" t="s">
        <v>393</v>
      </c>
      <c r="B328" s="1">
        <v>41764</v>
      </c>
      <c r="C328">
        <v>2014</v>
      </c>
      <c r="D328" s="2" t="s">
        <v>59</v>
      </c>
      <c r="E328" s="2" t="s">
        <v>60</v>
      </c>
      <c r="F328" s="2" t="s">
        <v>19</v>
      </c>
      <c r="G328" t="s">
        <v>20</v>
      </c>
      <c r="H328" s="3">
        <v>61.05</v>
      </c>
      <c r="I328" s="3">
        <v>164.17</v>
      </c>
      <c r="J328" s="3">
        <v>2689.1</v>
      </c>
      <c r="K328" s="1" t="s">
        <v>28</v>
      </c>
      <c r="L328" s="2" t="s">
        <v>41</v>
      </c>
      <c r="M328" s="3">
        <v>145.35</v>
      </c>
      <c r="N328" s="3">
        <v>1022.12</v>
      </c>
      <c r="O328" s="2" t="s">
        <v>23</v>
      </c>
      <c r="P328" s="3">
        <v>27.11</v>
      </c>
      <c r="Q328" t="str">
        <f t="shared" si="16"/>
        <v>2014-05</v>
      </c>
      <c r="R328" s="3">
        <f t="shared" si="17"/>
        <v>44.04750204750205</v>
      </c>
      <c r="S328" s="2" t="str">
        <f t="shared" si="15"/>
        <v>Success</v>
      </c>
    </row>
    <row r="329" spans="1:19" x14ac:dyDescent="0.3">
      <c r="A329" t="s">
        <v>394</v>
      </c>
      <c r="B329" s="1">
        <v>42463</v>
      </c>
      <c r="C329">
        <v>2016</v>
      </c>
      <c r="D329" s="2" t="s">
        <v>103</v>
      </c>
      <c r="E329" s="2" t="s">
        <v>228</v>
      </c>
      <c r="F329" s="2" t="s">
        <v>19</v>
      </c>
      <c r="G329" t="s">
        <v>20</v>
      </c>
      <c r="H329" s="3">
        <v>96.05</v>
      </c>
      <c r="I329" s="3">
        <v>179.08</v>
      </c>
      <c r="J329" s="3">
        <v>1864.45</v>
      </c>
      <c r="K329" s="1" t="s">
        <v>34</v>
      </c>
      <c r="L329" s="2" t="s">
        <v>22</v>
      </c>
      <c r="M329" s="3">
        <v>289.35000000000002</v>
      </c>
      <c r="N329" s="3">
        <v>211.15</v>
      </c>
      <c r="O329" s="2" t="s">
        <v>61</v>
      </c>
      <c r="P329" s="3">
        <v>22.12</v>
      </c>
      <c r="Q329" t="str">
        <f t="shared" si="16"/>
        <v>2016-04</v>
      </c>
      <c r="R329" s="3">
        <f t="shared" si="17"/>
        <v>19.411244143675169</v>
      </c>
      <c r="S329" s="2" t="str">
        <f t="shared" si="15"/>
        <v>Success</v>
      </c>
    </row>
    <row r="330" spans="1:19" x14ac:dyDescent="0.3">
      <c r="A330" t="s">
        <v>395</v>
      </c>
      <c r="B330" s="1">
        <v>42472</v>
      </c>
      <c r="C330">
        <v>2016</v>
      </c>
      <c r="D330" s="2" t="s">
        <v>59</v>
      </c>
      <c r="E330" s="2" t="s">
        <v>93</v>
      </c>
      <c r="F330" s="2" t="s">
        <v>19</v>
      </c>
      <c r="G330" t="s">
        <v>27</v>
      </c>
      <c r="H330" s="3">
        <v>94.75</v>
      </c>
      <c r="I330" s="3">
        <v>267.97000000000003</v>
      </c>
      <c r="J330" s="3">
        <v>2828.15</v>
      </c>
      <c r="K330" s="1" t="s">
        <v>34</v>
      </c>
      <c r="L330" s="2" t="s">
        <v>41</v>
      </c>
      <c r="M330" s="3">
        <v>102.93</v>
      </c>
      <c r="N330" s="3">
        <v>1105.6300000000001</v>
      </c>
      <c r="O330" s="2" t="s">
        <v>61</v>
      </c>
      <c r="P330" s="3">
        <v>22.14</v>
      </c>
      <c r="Q330" t="str">
        <f t="shared" si="16"/>
        <v>2016-04</v>
      </c>
      <c r="R330" s="3">
        <f t="shared" si="17"/>
        <v>29.848548812664909</v>
      </c>
      <c r="S330" s="2" t="str">
        <f t="shared" si="15"/>
        <v>Success</v>
      </c>
    </row>
    <row r="331" spans="1:19" x14ac:dyDescent="0.3">
      <c r="A331" t="s">
        <v>396</v>
      </c>
      <c r="B331" s="1">
        <v>41566</v>
      </c>
      <c r="C331">
        <v>2013</v>
      </c>
      <c r="D331" s="2" t="s">
        <v>59</v>
      </c>
      <c r="E331" s="2" t="s">
        <v>63</v>
      </c>
      <c r="F331" s="2" t="s">
        <v>33</v>
      </c>
      <c r="G331" t="s">
        <v>56</v>
      </c>
      <c r="H331" s="3">
        <v>67.430000000000007</v>
      </c>
      <c r="I331" s="3">
        <v>296.95</v>
      </c>
      <c r="J331" s="3">
        <v>4403.76</v>
      </c>
      <c r="K331" s="1" t="s">
        <v>21</v>
      </c>
      <c r="L331" s="2" t="s">
        <v>22</v>
      </c>
      <c r="M331" s="3">
        <v>262.85000000000002</v>
      </c>
      <c r="N331" s="3">
        <v>1132.3699999999999</v>
      </c>
      <c r="O331" s="2" t="s">
        <v>61</v>
      </c>
      <c r="P331" s="3">
        <v>26.92</v>
      </c>
      <c r="Q331" t="str">
        <f t="shared" si="16"/>
        <v>2013-10</v>
      </c>
      <c r="R331" s="3">
        <f t="shared" si="17"/>
        <v>65.308616342874089</v>
      </c>
      <c r="S331" s="2" t="str">
        <f t="shared" si="15"/>
        <v>Success</v>
      </c>
    </row>
    <row r="332" spans="1:19" x14ac:dyDescent="0.3">
      <c r="A332" t="s">
        <v>397</v>
      </c>
      <c r="B332" s="1">
        <v>40865</v>
      </c>
      <c r="C332">
        <v>2011</v>
      </c>
      <c r="D332" s="2" t="s">
        <v>31</v>
      </c>
      <c r="E332" s="2" t="s">
        <v>117</v>
      </c>
      <c r="F332" s="2" t="s">
        <v>38</v>
      </c>
      <c r="G332" t="s">
        <v>64</v>
      </c>
      <c r="H332" s="3">
        <v>20.54</v>
      </c>
      <c r="I332" s="3">
        <v>92.09</v>
      </c>
      <c r="J332" s="3">
        <v>4483.57</v>
      </c>
      <c r="K332" s="1" t="s">
        <v>34</v>
      </c>
      <c r="L332" s="2" t="s">
        <v>41</v>
      </c>
      <c r="M332" s="3">
        <v>139.28</v>
      </c>
      <c r="N332" s="3">
        <v>871.3</v>
      </c>
      <c r="O332" s="2" t="s">
        <v>42</v>
      </c>
      <c r="P332" s="3">
        <v>21.5</v>
      </c>
      <c r="Q332" t="str">
        <f t="shared" si="16"/>
        <v>2011-11</v>
      </c>
      <c r="R332" s="3">
        <f t="shared" si="17"/>
        <v>218.28481012658227</v>
      </c>
      <c r="S332" s="2" t="str">
        <f t="shared" si="15"/>
        <v>Success</v>
      </c>
    </row>
    <row r="333" spans="1:19" x14ac:dyDescent="0.3">
      <c r="A333" t="s">
        <v>398</v>
      </c>
      <c r="B333" s="1">
        <v>43083</v>
      </c>
      <c r="C333">
        <v>2017</v>
      </c>
      <c r="D333" s="2" t="s">
        <v>31</v>
      </c>
      <c r="E333" s="2" t="s">
        <v>32</v>
      </c>
      <c r="F333" s="2" t="s">
        <v>38</v>
      </c>
      <c r="G333" t="s">
        <v>27</v>
      </c>
      <c r="H333" s="3">
        <v>66.28</v>
      </c>
      <c r="I333" s="3">
        <v>342.05</v>
      </c>
      <c r="J333" s="3">
        <v>5160.75</v>
      </c>
      <c r="K333" s="1" t="s">
        <v>40</v>
      </c>
      <c r="L333" s="2" t="s">
        <v>22</v>
      </c>
      <c r="M333" s="3">
        <v>191.39</v>
      </c>
      <c r="N333" s="3">
        <v>564.49</v>
      </c>
      <c r="O333" s="2" t="s">
        <v>70</v>
      </c>
      <c r="P333" s="3">
        <v>34.380000000000003</v>
      </c>
      <c r="Q333" t="str">
        <f t="shared" si="16"/>
        <v>2017-12</v>
      </c>
      <c r="R333" s="3">
        <f t="shared" si="17"/>
        <v>77.86285455642728</v>
      </c>
      <c r="S333" s="2" t="str">
        <f t="shared" si="15"/>
        <v>Success</v>
      </c>
    </row>
    <row r="334" spans="1:19" x14ac:dyDescent="0.3">
      <c r="A334" t="s">
        <v>399</v>
      </c>
      <c r="B334" s="1">
        <v>44804</v>
      </c>
      <c r="C334">
        <v>2022</v>
      </c>
      <c r="D334" s="2" t="s">
        <v>31</v>
      </c>
      <c r="E334" s="2" t="s">
        <v>82</v>
      </c>
      <c r="F334" s="2" t="s">
        <v>33</v>
      </c>
      <c r="G334" t="s">
        <v>39</v>
      </c>
      <c r="H334" s="3">
        <v>74.239999999999995</v>
      </c>
      <c r="I334" s="3">
        <v>268.51</v>
      </c>
      <c r="J334" s="3">
        <v>3616.74</v>
      </c>
      <c r="K334" s="1" t="s">
        <v>34</v>
      </c>
      <c r="L334" s="2" t="s">
        <v>49</v>
      </c>
      <c r="M334" s="3">
        <v>83.58</v>
      </c>
      <c r="N334" s="3">
        <v>932.97</v>
      </c>
      <c r="O334" s="2" t="s">
        <v>52</v>
      </c>
      <c r="P334" s="3">
        <v>26.94</v>
      </c>
      <c r="Q334" t="str">
        <f t="shared" si="16"/>
        <v>2022-08</v>
      </c>
      <c r="R334" s="3">
        <f t="shared" si="17"/>
        <v>48.716864224137929</v>
      </c>
      <c r="S334" s="2" t="str">
        <f t="shared" si="15"/>
        <v>Success</v>
      </c>
    </row>
    <row r="335" spans="1:19" x14ac:dyDescent="0.3">
      <c r="A335" t="s">
        <v>400</v>
      </c>
      <c r="B335" s="1">
        <v>40699</v>
      </c>
      <c r="C335">
        <v>2011</v>
      </c>
      <c r="D335" s="2" t="s">
        <v>36</v>
      </c>
      <c r="E335" s="2" t="s">
        <v>77</v>
      </c>
      <c r="F335" s="2" t="s">
        <v>33</v>
      </c>
      <c r="G335" t="s">
        <v>39</v>
      </c>
      <c r="H335" s="3">
        <v>61.06</v>
      </c>
      <c r="I335" s="3">
        <v>369.46</v>
      </c>
      <c r="J335" s="3">
        <v>6050.76</v>
      </c>
      <c r="K335" s="1" t="s">
        <v>40</v>
      </c>
      <c r="L335" s="2" t="s">
        <v>47</v>
      </c>
      <c r="M335" s="3">
        <v>272.82</v>
      </c>
      <c r="N335" s="3">
        <v>396.43</v>
      </c>
      <c r="O335" s="2" t="s">
        <v>23</v>
      </c>
      <c r="P335" s="3">
        <v>30.91</v>
      </c>
      <c r="Q335" t="str">
        <f t="shared" si="16"/>
        <v>2011-06</v>
      </c>
      <c r="R335" s="3">
        <f t="shared" si="17"/>
        <v>99.095316082541757</v>
      </c>
      <c r="S335" s="2" t="str">
        <f t="shared" si="15"/>
        <v>Success</v>
      </c>
    </row>
    <row r="336" spans="1:19" x14ac:dyDescent="0.3">
      <c r="A336" t="s">
        <v>401</v>
      </c>
      <c r="B336" s="1">
        <v>43605</v>
      </c>
      <c r="C336">
        <v>2019</v>
      </c>
      <c r="D336" s="2" t="s">
        <v>17</v>
      </c>
      <c r="E336" s="2" t="s">
        <v>18</v>
      </c>
      <c r="F336" s="2" t="s">
        <v>19</v>
      </c>
      <c r="G336" t="s">
        <v>46</v>
      </c>
      <c r="H336" s="3">
        <v>77.150000000000006</v>
      </c>
      <c r="I336" s="3">
        <v>175.64</v>
      </c>
      <c r="J336" s="3">
        <v>2276.56</v>
      </c>
      <c r="K336" s="1" t="s">
        <v>21</v>
      </c>
      <c r="L336" s="2" t="s">
        <v>41</v>
      </c>
      <c r="M336" s="3">
        <v>187.9</v>
      </c>
      <c r="N336" s="3">
        <v>743.47</v>
      </c>
      <c r="O336" s="2" t="s">
        <v>61</v>
      </c>
      <c r="P336" s="3">
        <v>27.08</v>
      </c>
      <c r="Q336" t="str">
        <f t="shared" si="16"/>
        <v>2019-05</v>
      </c>
      <c r="R336" s="3">
        <f t="shared" si="17"/>
        <v>29.508230719377831</v>
      </c>
      <c r="S336" s="2" t="str">
        <f t="shared" si="15"/>
        <v>Success</v>
      </c>
    </row>
    <row r="337" spans="1:19" x14ac:dyDescent="0.3">
      <c r="A337" t="s">
        <v>402</v>
      </c>
      <c r="B337" s="1">
        <v>41416</v>
      </c>
      <c r="C337">
        <v>2013</v>
      </c>
      <c r="D337" s="2" t="s">
        <v>31</v>
      </c>
      <c r="E337" s="2" t="s">
        <v>32</v>
      </c>
      <c r="F337" s="2" t="s">
        <v>19</v>
      </c>
      <c r="G337" t="s">
        <v>39</v>
      </c>
      <c r="H337" s="3">
        <v>85.86</v>
      </c>
      <c r="I337" s="3">
        <v>154.83000000000001</v>
      </c>
      <c r="J337" s="3">
        <v>1803.29</v>
      </c>
      <c r="K337" s="1" t="s">
        <v>21</v>
      </c>
      <c r="L337" s="2" t="s">
        <v>47</v>
      </c>
      <c r="M337" s="3">
        <v>149.19999999999999</v>
      </c>
      <c r="N337" s="3">
        <v>702.17</v>
      </c>
      <c r="O337" s="2" t="s">
        <v>42</v>
      </c>
      <c r="P337" s="3">
        <v>32.72</v>
      </c>
      <c r="Q337" t="str">
        <f t="shared" si="16"/>
        <v>2013-05</v>
      </c>
      <c r="R337" s="3">
        <f t="shared" si="17"/>
        <v>21.002678779408338</v>
      </c>
      <c r="S337" s="2" t="str">
        <f t="shared" si="15"/>
        <v>Success</v>
      </c>
    </row>
    <row r="338" spans="1:19" x14ac:dyDescent="0.3">
      <c r="A338" t="s">
        <v>403</v>
      </c>
      <c r="B338" s="1">
        <v>44700</v>
      </c>
      <c r="C338">
        <v>2022</v>
      </c>
      <c r="D338" s="2" t="s">
        <v>17</v>
      </c>
      <c r="E338" s="2" t="s">
        <v>18</v>
      </c>
      <c r="F338" s="2" t="s">
        <v>19</v>
      </c>
      <c r="G338" t="s">
        <v>56</v>
      </c>
      <c r="H338" s="3">
        <v>45.18</v>
      </c>
      <c r="I338" s="3">
        <v>93.74</v>
      </c>
      <c r="J338" s="3">
        <v>2074.87</v>
      </c>
      <c r="K338" s="1" t="s">
        <v>40</v>
      </c>
      <c r="L338" s="2" t="s">
        <v>29</v>
      </c>
      <c r="M338" s="3">
        <v>233.98</v>
      </c>
      <c r="N338" s="3">
        <v>683.5</v>
      </c>
      <c r="O338" s="2" t="s">
        <v>70</v>
      </c>
      <c r="P338" s="3">
        <v>20.61</v>
      </c>
      <c r="Q338" t="str">
        <f t="shared" si="16"/>
        <v>2022-05</v>
      </c>
      <c r="R338" s="3">
        <f t="shared" si="17"/>
        <v>45.924524125719344</v>
      </c>
      <c r="S338" s="2" t="str">
        <f t="shared" si="15"/>
        <v>Success</v>
      </c>
    </row>
    <row r="339" spans="1:19" x14ac:dyDescent="0.3">
      <c r="A339" t="s">
        <v>404</v>
      </c>
      <c r="B339" s="1">
        <v>42026</v>
      </c>
      <c r="C339">
        <v>2014</v>
      </c>
      <c r="D339" s="2" t="s">
        <v>103</v>
      </c>
      <c r="E339" s="2" t="s">
        <v>104</v>
      </c>
      <c r="F339" s="2" t="s">
        <v>38</v>
      </c>
      <c r="G339" t="s">
        <v>56</v>
      </c>
      <c r="H339" s="3">
        <v>5.24</v>
      </c>
      <c r="I339" s="3">
        <v>11.74</v>
      </c>
      <c r="J339" s="3">
        <v>2240.64</v>
      </c>
      <c r="K339" s="1" t="s">
        <v>34</v>
      </c>
      <c r="L339" s="2" t="s">
        <v>22</v>
      </c>
      <c r="M339" s="3">
        <v>147.02000000000001</v>
      </c>
      <c r="N339" s="3">
        <v>1117.9000000000001</v>
      </c>
      <c r="O339" s="2" t="s">
        <v>23</v>
      </c>
      <c r="P339" s="3">
        <v>20.6</v>
      </c>
      <c r="Q339" t="str">
        <f t="shared" si="16"/>
        <v>2015-01</v>
      </c>
      <c r="R339" s="3">
        <f t="shared" si="17"/>
        <v>427.60305343511448</v>
      </c>
      <c r="S339" s="2" t="str">
        <f t="shared" si="15"/>
        <v>Success</v>
      </c>
    </row>
    <row r="340" spans="1:19" x14ac:dyDescent="0.3">
      <c r="A340" t="s">
        <v>405</v>
      </c>
      <c r="B340" s="1">
        <v>44155</v>
      </c>
      <c r="C340">
        <v>2020</v>
      </c>
      <c r="D340" s="2" t="s">
        <v>17</v>
      </c>
      <c r="E340" s="2" t="s">
        <v>54</v>
      </c>
      <c r="F340" s="2" t="s">
        <v>38</v>
      </c>
      <c r="G340" t="s">
        <v>39</v>
      </c>
      <c r="H340" s="3">
        <v>27.07</v>
      </c>
      <c r="I340" s="3">
        <v>115.48</v>
      </c>
      <c r="J340" s="3">
        <v>4266.1000000000004</v>
      </c>
      <c r="K340" s="1" t="s">
        <v>40</v>
      </c>
      <c r="L340" s="2" t="s">
        <v>47</v>
      </c>
      <c r="M340" s="3">
        <v>144.16</v>
      </c>
      <c r="N340" s="3">
        <v>578.52</v>
      </c>
      <c r="O340" s="2" t="s">
        <v>61</v>
      </c>
      <c r="P340" s="3">
        <v>29.8</v>
      </c>
      <c r="Q340" t="str">
        <f t="shared" si="16"/>
        <v>2020-11</v>
      </c>
      <c r="R340" s="3">
        <f t="shared" si="17"/>
        <v>157.59512375323237</v>
      </c>
      <c r="S340" s="2" t="str">
        <f t="shared" si="15"/>
        <v>Success</v>
      </c>
    </row>
    <row r="341" spans="1:19" x14ac:dyDescent="0.3">
      <c r="A341" t="s">
        <v>406</v>
      </c>
      <c r="B341" s="1">
        <v>41373</v>
      </c>
      <c r="C341">
        <v>2013</v>
      </c>
      <c r="D341" s="2" t="s">
        <v>31</v>
      </c>
      <c r="E341" s="2" t="s">
        <v>32</v>
      </c>
      <c r="F341" s="2" t="s">
        <v>19</v>
      </c>
      <c r="G341" t="s">
        <v>46</v>
      </c>
      <c r="H341" s="3">
        <v>35.94</v>
      </c>
      <c r="I341" s="3">
        <v>223.06</v>
      </c>
      <c r="J341" s="3">
        <v>6206.32</v>
      </c>
      <c r="K341" s="1" t="s">
        <v>28</v>
      </c>
      <c r="L341" s="2" t="s">
        <v>29</v>
      </c>
      <c r="M341" s="3">
        <v>248.16</v>
      </c>
      <c r="N341" s="3">
        <v>1087.17</v>
      </c>
      <c r="O341" s="2" t="s">
        <v>23</v>
      </c>
      <c r="P341" s="3">
        <v>27.53</v>
      </c>
      <c r="Q341" t="str">
        <f t="shared" si="16"/>
        <v>2013-04</v>
      </c>
      <c r="R341" s="3">
        <f t="shared" si="17"/>
        <v>172.68558708959378</v>
      </c>
      <c r="S341" s="2" t="str">
        <f t="shared" si="15"/>
        <v>Success</v>
      </c>
    </row>
    <row r="342" spans="1:19" x14ac:dyDescent="0.3">
      <c r="A342" t="s">
        <v>407</v>
      </c>
      <c r="B342" s="1">
        <v>40660</v>
      </c>
      <c r="C342">
        <v>2011</v>
      </c>
      <c r="D342" s="2" t="s">
        <v>103</v>
      </c>
      <c r="E342" s="2" t="s">
        <v>104</v>
      </c>
      <c r="F342" s="2" t="s">
        <v>19</v>
      </c>
      <c r="G342" t="s">
        <v>39</v>
      </c>
      <c r="H342" s="3">
        <v>28.8</v>
      </c>
      <c r="I342" s="3">
        <v>54.76</v>
      </c>
      <c r="J342" s="3">
        <v>1901.44</v>
      </c>
      <c r="K342" s="1" t="s">
        <v>40</v>
      </c>
      <c r="L342" s="2" t="s">
        <v>49</v>
      </c>
      <c r="M342" s="3">
        <v>140.56</v>
      </c>
      <c r="N342" s="3">
        <v>917.3</v>
      </c>
      <c r="O342" s="2" t="s">
        <v>23</v>
      </c>
      <c r="P342" s="3">
        <v>29.92</v>
      </c>
      <c r="Q342" t="str">
        <f t="shared" si="16"/>
        <v>2011-04</v>
      </c>
      <c r="R342" s="3">
        <f t="shared" si="17"/>
        <v>66.022222222222226</v>
      </c>
      <c r="S342" s="2" t="str">
        <f t="shared" si="15"/>
        <v>Success</v>
      </c>
    </row>
    <row r="343" spans="1:19" x14ac:dyDescent="0.3">
      <c r="A343" t="s">
        <v>408</v>
      </c>
      <c r="B343" s="1">
        <v>42834</v>
      </c>
      <c r="C343">
        <v>2017</v>
      </c>
      <c r="D343" s="2" t="s">
        <v>17</v>
      </c>
      <c r="E343" s="2" t="s">
        <v>18</v>
      </c>
      <c r="F343" s="2" t="s">
        <v>19</v>
      </c>
      <c r="G343" t="s">
        <v>46</v>
      </c>
      <c r="H343" s="3">
        <v>48.42</v>
      </c>
      <c r="I343" s="3">
        <v>220.06</v>
      </c>
      <c r="J343" s="3">
        <v>4544.75</v>
      </c>
      <c r="K343" s="1" t="s">
        <v>28</v>
      </c>
      <c r="L343" s="2" t="s">
        <v>47</v>
      </c>
      <c r="M343" s="3">
        <v>55.61</v>
      </c>
      <c r="N343" s="3">
        <v>243.14</v>
      </c>
      <c r="O343" s="2" t="s">
        <v>61</v>
      </c>
      <c r="P343" s="3">
        <v>28.89</v>
      </c>
      <c r="Q343" t="str">
        <f t="shared" si="16"/>
        <v>2017-04</v>
      </c>
      <c r="R343" s="3">
        <f t="shared" si="17"/>
        <v>93.861007847996689</v>
      </c>
      <c r="S343" s="2" t="str">
        <f t="shared" si="15"/>
        <v>Success</v>
      </c>
    </row>
    <row r="344" spans="1:19" x14ac:dyDescent="0.3">
      <c r="A344" t="s">
        <v>409</v>
      </c>
      <c r="B344" s="1">
        <v>41133</v>
      </c>
      <c r="C344">
        <v>2012</v>
      </c>
      <c r="D344" s="2" t="s">
        <v>25</v>
      </c>
      <c r="E344" s="2" t="s">
        <v>69</v>
      </c>
      <c r="F344" s="2" t="s">
        <v>33</v>
      </c>
      <c r="G344" t="s">
        <v>56</v>
      </c>
      <c r="H344" s="3">
        <v>26.57</v>
      </c>
      <c r="I344" s="3">
        <v>55.27</v>
      </c>
      <c r="J344" s="3">
        <v>2080.23</v>
      </c>
      <c r="K344" s="1" t="s">
        <v>28</v>
      </c>
      <c r="L344" s="2" t="s">
        <v>22</v>
      </c>
      <c r="M344" s="3">
        <v>199.84</v>
      </c>
      <c r="N344" s="3">
        <v>763.6</v>
      </c>
      <c r="O344" s="2" t="s">
        <v>23</v>
      </c>
      <c r="P344" s="3">
        <v>33.18</v>
      </c>
      <c r="Q344" t="str">
        <f t="shared" si="16"/>
        <v>2012-08</v>
      </c>
      <c r="R344" s="3">
        <f t="shared" si="17"/>
        <v>78.292435077154693</v>
      </c>
      <c r="S344" s="2" t="str">
        <f t="shared" si="15"/>
        <v>Success</v>
      </c>
    </row>
    <row r="345" spans="1:19" x14ac:dyDescent="0.3">
      <c r="A345" t="s">
        <v>410</v>
      </c>
      <c r="B345" s="1">
        <v>43900</v>
      </c>
      <c r="C345">
        <v>2019</v>
      </c>
      <c r="D345" s="2" t="s">
        <v>103</v>
      </c>
      <c r="E345" s="2" t="s">
        <v>107</v>
      </c>
      <c r="F345" s="2" t="s">
        <v>38</v>
      </c>
      <c r="G345" t="s">
        <v>46</v>
      </c>
      <c r="H345" s="3">
        <v>17.89</v>
      </c>
      <c r="I345" s="3">
        <v>107.02</v>
      </c>
      <c r="J345" s="3">
        <v>5982.18</v>
      </c>
      <c r="K345" s="1" t="s">
        <v>40</v>
      </c>
      <c r="L345" s="2" t="s">
        <v>49</v>
      </c>
      <c r="M345" s="3">
        <v>248.65</v>
      </c>
      <c r="N345" s="3">
        <v>1020.45</v>
      </c>
      <c r="O345" s="2" t="s">
        <v>42</v>
      </c>
      <c r="P345" s="3">
        <v>29.35</v>
      </c>
      <c r="Q345" t="str">
        <f t="shared" si="16"/>
        <v>2020-03</v>
      </c>
      <c r="R345" s="3">
        <f t="shared" si="17"/>
        <v>334.38680827277807</v>
      </c>
      <c r="S345" s="2" t="str">
        <f t="shared" si="15"/>
        <v>Success</v>
      </c>
    </row>
    <row r="346" spans="1:19" x14ac:dyDescent="0.3">
      <c r="A346" t="s">
        <v>411</v>
      </c>
      <c r="B346" s="1">
        <v>44265</v>
      </c>
      <c r="C346">
        <v>2020</v>
      </c>
      <c r="D346" s="2" t="s">
        <v>103</v>
      </c>
      <c r="E346" s="2" t="s">
        <v>228</v>
      </c>
      <c r="F346" s="2" t="s">
        <v>38</v>
      </c>
      <c r="G346" t="s">
        <v>46</v>
      </c>
      <c r="H346" s="3">
        <v>60.06</v>
      </c>
      <c r="I346" s="3">
        <v>84.87</v>
      </c>
      <c r="J346" s="3">
        <v>1413.06</v>
      </c>
      <c r="K346" s="1" t="s">
        <v>28</v>
      </c>
      <c r="L346" s="2" t="s">
        <v>29</v>
      </c>
      <c r="M346" s="3">
        <v>146.37</v>
      </c>
      <c r="N346" s="3">
        <v>308.57</v>
      </c>
      <c r="O346" s="2" t="s">
        <v>42</v>
      </c>
      <c r="P346" s="3">
        <v>27.84</v>
      </c>
      <c r="Q346" t="str">
        <f t="shared" si="16"/>
        <v>2021-03</v>
      </c>
      <c r="R346" s="3">
        <f t="shared" si="17"/>
        <v>23.527472527472526</v>
      </c>
      <c r="S346" s="2" t="str">
        <f t="shared" si="15"/>
        <v>Success</v>
      </c>
    </row>
    <row r="347" spans="1:19" x14ac:dyDescent="0.3">
      <c r="A347" t="s">
        <v>412</v>
      </c>
      <c r="B347" s="1">
        <v>43650</v>
      </c>
      <c r="C347">
        <v>2019</v>
      </c>
      <c r="D347" s="2" t="s">
        <v>44</v>
      </c>
      <c r="E347" s="2" t="s">
        <v>45</v>
      </c>
      <c r="F347" s="2" t="s">
        <v>33</v>
      </c>
      <c r="G347" t="s">
        <v>56</v>
      </c>
      <c r="H347" s="3">
        <v>48.11</v>
      </c>
      <c r="I347" s="3">
        <v>225.56</v>
      </c>
      <c r="J347" s="3">
        <v>4688.49</v>
      </c>
      <c r="K347" s="1" t="s">
        <v>21</v>
      </c>
      <c r="L347" s="2" t="s">
        <v>47</v>
      </c>
      <c r="M347" s="3">
        <v>269.44</v>
      </c>
      <c r="N347" s="3">
        <v>731.43</v>
      </c>
      <c r="O347" s="2" t="s">
        <v>23</v>
      </c>
      <c r="P347" s="3">
        <v>21.4</v>
      </c>
      <c r="Q347" t="str">
        <f t="shared" si="16"/>
        <v>2019-07</v>
      </c>
      <c r="R347" s="3">
        <f t="shared" si="17"/>
        <v>97.453543961754306</v>
      </c>
      <c r="S347" s="2" t="str">
        <f t="shared" si="15"/>
        <v>Success</v>
      </c>
    </row>
    <row r="348" spans="1:19" x14ac:dyDescent="0.3">
      <c r="A348" t="s">
        <v>413</v>
      </c>
      <c r="B348" s="1">
        <v>44676</v>
      </c>
      <c r="C348">
        <v>2022</v>
      </c>
      <c r="D348" s="2" t="s">
        <v>59</v>
      </c>
      <c r="E348" s="2" t="s">
        <v>60</v>
      </c>
      <c r="F348" s="2" t="s">
        <v>19</v>
      </c>
      <c r="G348" t="s">
        <v>39</v>
      </c>
      <c r="H348" s="3">
        <v>43.72</v>
      </c>
      <c r="I348" s="3">
        <v>154.07</v>
      </c>
      <c r="J348" s="3">
        <v>3524.1</v>
      </c>
      <c r="K348" s="1" t="s">
        <v>21</v>
      </c>
      <c r="L348" s="2" t="s">
        <v>49</v>
      </c>
      <c r="M348" s="3">
        <v>224.41</v>
      </c>
      <c r="N348" s="3">
        <v>628.96</v>
      </c>
      <c r="O348" s="2" t="s">
        <v>52</v>
      </c>
      <c r="P348" s="3">
        <v>31.84</v>
      </c>
      <c r="Q348" t="str">
        <f t="shared" si="16"/>
        <v>2022-04</v>
      </c>
      <c r="R348" s="3">
        <f t="shared" si="17"/>
        <v>80.606129917657825</v>
      </c>
      <c r="S348" s="2" t="str">
        <f t="shared" si="15"/>
        <v>Success</v>
      </c>
    </row>
    <row r="349" spans="1:19" x14ac:dyDescent="0.3">
      <c r="A349" t="s">
        <v>414</v>
      </c>
      <c r="B349" s="1">
        <v>44708</v>
      </c>
      <c r="C349">
        <v>2022</v>
      </c>
      <c r="D349" s="2" t="s">
        <v>59</v>
      </c>
      <c r="E349" s="2" t="s">
        <v>93</v>
      </c>
      <c r="F349" s="2" t="s">
        <v>19</v>
      </c>
      <c r="G349" t="s">
        <v>27</v>
      </c>
      <c r="H349" s="3">
        <v>10.67</v>
      </c>
      <c r="I349" s="3">
        <v>19.239999999999998</v>
      </c>
      <c r="J349" s="3">
        <v>1803.3</v>
      </c>
      <c r="K349" s="1" t="s">
        <v>28</v>
      </c>
      <c r="L349" s="2" t="s">
        <v>47</v>
      </c>
      <c r="M349" s="3">
        <v>241.46</v>
      </c>
      <c r="N349" s="3">
        <v>1110.0899999999999</v>
      </c>
      <c r="O349" s="2" t="s">
        <v>23</v>
      </c>
      <c r="P349" s="3">
        <v>24.25</v>
      </c>
      <c r="Q349" t="str">
        <f t="shared" si="16"/>
        <v>2022-05</v>
      </c>
      <c r="R349" s="3">
        <f t="shared" si="17"/>
        <v>169.00656044985942</v>
      </c>
      <c r="S349" s="2" t="str">
        <f t="shared" si="15"/>
        <v>Success</v>
      </c>
    </row>
    <row r="350" spans="1:19" x14ac:dyDescent="0.3">
      <c r="A350" t="s">
        <v>415</v>
      </c>
      <c r="B350" s="1">
        <v>41506</v>
      </c>
      <c r="C350">
        <v>2013</v>
      </c>
      <c r="D350" s="2" t="s">
        <v>36</v>
      </c>
      <c r="E350" s="2" t="s">
        <v>51</v>
      </c>
      <c r="F350" s="2" t="s">
        <v>33</v>
      </c>
      <c r="G350" t="s">
        <v>39</v>
      </c>
      <c r="H350" s="3">
        <v>74.62</v>
      </c>
      <c r="I350" s="3">
        <v>77.8</v>
      </c>
      <c r="J350" s="3">
        <v>1042.68</v>
      </c>
      <c r="K350" s="1" t="s">
        <v>21</v>
      </c>
      <c r="L350" s="2" t="s">
        <v>29</v>
      </c>
      <c r="M350" s="3">
        <v>179.94</v>
      </c>
      <c r="N350" s="3">
        <v>575.03</v>
      </c>
      <c r="O350" s="2" t="s">
        <v>42</v>
      </c>
      <c r="P350" s="3">
        <v>30.32</v>
      </c>
      <c r="Q350" t="str">
        <f t="shared" si="16"/>
        <v>2013-08</v>
      </c>
      <c r="R350" s="3">
        <f t="shared" si="17"/>
        <v>13.973197534173144</v>
      </c>
      <c r="S350" s="2" t="str">
        <f t="shared" si="15"/>
        <v>Success</v>
      </c>
    </row>
    <row r="351" spans="1:19" x14ac:dyDescent="0.3">
      <c r="A351" t="s">
        <v>416</v>
      </c>
      <c r="B351" s="1">
        <v>41319</v>
      </c>
      <c r="C351">
        <v>2012</v>
      </c>
      <c r="D351" s="2" t="s">
        <v>31</v>
      </c>
      <c r="E351" s="2" t="s">
        <v>82</v>
      </c>
      <c r="F351" s="2" t="s">
        <v>38</v>
      </c>
      <c r="G351" t="s">
        <v>39</v>
      </c>
      <c r="H351" s="3">
        <v>58.95</v>
      </c>
      <c r="I351" s="3">
        <v>151.37</v>
      </c>
      <c r="J351" s="3">
        <v>2567.8200000000002</v>
      </c>
      <c r="K351" s="1" t="s">
        <v>28</v>
      </c>
      <c r="L351" s="2" t="s">
        <v>47</v>
      </c>
      <c r="M351" s="3">
        <v>191.17</v>
      </c>
      <c r="N351" s="3">
        <v>811.88</v>
      </c>
      <c r="O351" s="2" t="s">
        <v>52</v>
      </c>
      <c r="P351" s="3">
        <v>31.32</v>
      </c>
      <c r="Q351" t="str">
        <f t="shared" si="16"/>
        <v>2013-02</v>
      </c>
      <c r="R351" s="3">
        <f t="shared" si="17"/>
        <v>43.559287531806618</v>
      </c>
      <c r="S351" s="2" t="str">
        <f t="shared" si="15"/>
        <v>Success</v>
      </c>
    </row>
    <row r="352" spans="1:19" x14ac:dyDescent="0.3">
      <c r="A352" t="s">
        <v>417</v>
      </c>
      <c r="B352" s="1">
        <v>42917</v>
      </c>
      <c r="C352">
        <v>2017</v>
      </c>
      <c r="D352" s="2" t="s">
        <v>44</v>
      </c>
      <c r="E352" s="2" t="s">
        <v>67</v>
      </c>
      <c r="F352" s="2" t="s">
        <v>33</v>
      </c>
      <c r="G352" t="s">
        <v>20</v>
      </c>
      <c r="H352" s="3">
        <v>56.35</v>
      </c>
      <c r="I352" s="3">
        <v>219.91</v>
      </c>
      <c r="J352" s="3">
        <v>3902.56</v>
      </c>
      <c r="K352" s="1" t="s">
        <v>34</v>
      </c>
      <c r="L352" s="2" t="s">
        <v>41</v>
      </c>
      <c r="M352" s="3">
        <v>194.41</v>
      </c>
      <c r="N352" s="3">
        <v>974.19</v>
      </c>
      <c r="O352" s="2" t="s">
        <v>52</v>
      </c>
      <c r="P352" s="3">
        <v>31.04</v>
      </c>
      <c r="Q352" t="str">
        <f t="shared" si="16"/>
        <v>2017-07</v>
      </c>
      <c r="R352" s="3">
        <f t="shared" si="17"/>
        <v>69.255723158828744</v>
      </c>
      <c r="S352" s="2" t="str">
        <f t="shared" si="15"/>
        <v>Success</v>
      </c>
    </row>
    <row r="353" spans="1:19" x14ac:dyDescent="0.3">
      <c r="A353" t="s">
        <v>418</v>
      </c>
      <c r="B353" s="1">
        <v>41098</v>
      </c>
      <c r="C353">
        <v>2012</v>
      </c>
      <c r="D353" s="2" t="s">
        <v>36</v>
      </c>
      <c r="E353" s="2" t="s">
        <v>77</v>
      </c>
      <c r="F353" s="2" t="s">
        <v>33</v>
      </c>
      <c r="G353" t="s">
        <v>56</v>
      </c>
      <c r="H353" s="3">
        <v>51.33</v>
      </c>
      <c r="I353" s="3">
        <v>293.43</v>
      </c>
      <c r="J353" s="3">
        <v>5716.49</v>
      </c>
      <c r="K353" s="1" t="s">
        <v>21</v>
      </c>
      <c r="L353" s="2" t="s">
        <v>29</v>
      </c>
      <c r="M353" s="3">
        <v>90.18</v>
      </c>
      <c r="N353" s="3">
        <v>1164.57</v>
      </c>
      <c r="O353" s="2" t="s">
        <v>23</v>
      </c>
      <c r="P353" s="3">
        <v>32.07</v>
      </c>
      <c r="Q353" t="str">
        <f t="shared" si="16"/>
        <v>2012-07</v>
      </c>
      <c r="R353" s="3">
        <f t="shared" si="17"/>
        <v>111.36742645626339</v>
      </c>
      <c r="S353" s="2" t="str">
        <f t="shared" si="15"/>
        <v>Success</v>
      </c>
    </row>
    <row r="354" spans="1:19" x14ac:dyDescent="0.3">
      <c r="A354" t="s">
        <v>419</v>
      </c>
      <c r="B354" s="1">
        <v>40828</v>
      </c>
      <c r="C354">
        <v>2011</v>
      </c>
      <c r="D354" s="2" t="s">
        <v>59</v>
      </c>
      <c r="E354" s="2" t="s">
        <v>63</v>
      </c>
      <c r="F354" s="2" t="s">
        <v>33</v>
      </c>
      <c r="G354" t="s">
        <v>20</v>
      </c>
      <c r="H354" s="3">
        <v>22.96</v>
      </c>
      <c r="I354" s="3">
        <v>33.99</v>
      </c>
      <c r="J354" s="3">
        <v>1480.24</v>
      </c>
      <c r="K354" s="1" t="s">
        <v>21</v>
      </c>
      <c r="L354" s="2" t="s">
        <v>49</v>
      </c>
      <c r="M354" s="3">
        <v>231.12</v>
      </c>
      <c r="N354" s="3">
        <v>1130.68</v>
      </c>
      <c r="O354" s="2" t="s">
        <v>52</v>
      </c>
      <c r="P354" s="3">
        <v>29.21</v>
      </c>
      <c r="Q354" t="str">
        <f t="shared" si="16"/>
        <v>2011-10</v>
      </c>
      <c r="R354" s="3">
        <f t="shared" si="17"/>
        <v>64.470383275261327</v>
      </c>
      <c r="S354" s="2" t="str">
        <f t="shared" si="15"/>
        <v>Success</v>
      </c>
    </row>
    <row r="355" spans="1:19" x14ac:dyDescent="0.3">
      <c r="A355" t="s">
        <v>420</v>
      </c>
      <c r="B355" s="1">
        <v>40389</v>
      </c>
      <c r="C355">
        <v>2010</v>
      </c>
      <c r="D355" s="2" t="s">
        <v>17</v>
      </c>
      <c r="E355" s="2" t="s">
        <v>54</v>
      </c>
      <c r="F355" s="2" t="s">
        <v>33</v>
      </c>
      <c r="G355" t="s">
        <v>39</v>
      </c>
      <c r="H355" s="3">
        <v>49.94</v>
      </c>
      <c r="I355" s="3">
        <v>53.15</v>
      </c>
      <c r="J355" s="3">
        <v>1064.26</v>
      </c>
      <c r="K355" s="1" t="s">
        <v>34</v>
      </c>
      <c r="L355" s="2" t="s">
        <v>47</v>
      </c>
      <c r="M355" s="3">
        <v>98.69</v>
      </c>
      <c r="N355" s="3">
        <v>983.96</v>
      </c>
      <c r="O355" s="2" t="s">
        <v>61</v>
      </c>
      <c r="P355" s="3">
        <v>27.74</v>
      </c>
      <c r="Q355" t="str">
        <f t="shared" si="16"/>
        <v>2010-07</v>
      </c>
      <c r="R355" s="3">
        <f t="shared" si="17"/>
        <v>21.310772927513018</v>
      </c>
      <c r="S355" s="2" t="str">
        <f t="shared" si="15"/>
        <v>Success</v>
      </c>
    </row>
    <row r="356" spans="1:19" x14ac:dyDescent="0.3">
      <c r="A356" t="s">
        <v>421</v>
      </c>
      <c r="B356" s="1">
        <v>40586</v>
      </c>
      <c r="C356">
        <v>2010</v>
      </c>
      <c r="D356" s="2" t="s">
        <v>103</v>
      </c>
      <c r="E356" s="2" t="s">
        <v>228</v>
      </c>
      <c r="F356" s="2" t="s">
        <v>38</v>
      </c>
      <c r="G356" t="s">
        <v>56</v>
      </c>
      <c r="H356" s="3">
        <v>65.849999999999994</v>
      </c>
      <c r="I356" s="3">
        <v>451.33</v>
      </c>
      <c r="J356" s="3">
        <v>6853.88</v>
      </c>
      <c r="K356" s="1" t="s">
        <v>21</v>
      </c>
      <c r="L356" s="2" t="s">
        <v>47</v>
      </c>
      <c r="M356" s="3">
        <v>299.2</v>
      </c>
      <c r="N356" s="3">
        <v>979.67</v>
      </c>
      <c r="O356" s="2" t="s">
        <v>70</v>
      </c>
      <c r="P356" s="3">
        <v>30.04</v>
      </c>
      <c r="Q356" t="str">
        <f t="shared" si="16"/>
        <v>2011-02</v>
      </c>
      <c r="R356" s="3">
        <f t="shared" si="17"/>
        <v>104.08321943811694</v>
      </c>
      <c r="S356" s="2" t="str">
        <f t="shared" si="15"/>
        <v>Success</v>
      </c>
    </row>
    <row r="357" spans="1:19" x14ac:dyDescent="0.3">
      <c r="A357" t="s">
        <v>422</v>
      </c>
      <c r="B357" s="1">
        <v>40321</v>
      </c>
      <c r="C357">
        <v>2010</v>
      </c>
      <c r="D357" s="2" t="s">
        <v>103</v>
      </c>
      <c r="E357" s="2" t="s">
        <v>228</v>
      </c>
      <c r="F357" s="2" t="s">
        <v>19</v>
      </c>
      <c r="G357" t="s">
        <v>39</v>
      </c>
      <c r="H357" s="3">
        <v>7.79</v>
      </c>
      <c r="I357" s="3">
        <v>12</v>
      </c>
      <c r="J357" s="3">
        <v>1541</v>
      </c>
      <c r="K357" s="1" t="s">
        <v>34</v>
      </c>
      <c r="L357" s="2" t="s">
        <v>49</v>
      </c>
      <c r="M357" s="3">
        <v>231.53</v>
      </c>
      <c r="N357" s="3">
        <v>759.11</v>
      </c>
      <c r="O357" s="2" t="s">
        <v>61</v>
      </c>
      <c r="P357" s="3">
        <v>25.22</v>
      </c>
      <c r="Q357" t="str">
        <f t="shared" si="16"/>
        <v>2010-05</v>
      </c>
      <c r="R357" s="3">
        <f t="shared" si="17"/>
        <v>197.81771501925544</v>
      </c>
      <c r="S357" s="2" t="str">
        <f t="shared" si="15"/>
        <v>Success</v>
      </c>
    </row>
    <row r="358" spans="1:19" x14ac:dyDescent="0.3">
      <c r="A358" t="s">
        <v>423</v>
      </c>
      <c r="B358" s="1">
        <v>41608</v>
      </c>
      <c r="C358">
        <v>2013</v>
      </c>
      <c r="D358" s="2" t="s">
        <v>103</v>
      </c>
      <c r="E358" s="2" t="s">
        <v>228</v>
      </c>
      <c r="F358" s="2" t="s">
        <v>38</v>
      </c>
      <c r="G358" t="s">
        <v>46</v>
      </c>
      <c r="H358" s="3">
        <v>57.92</v>
      </c>
      <c r="I358" s="3">
        <v>148.66</v>
      </c>
      <c r="J358" s="3">
        <v>2566.65</v>
      </c>
      <c r="K358" s="1" t="s">
        <v>28</v>
      </c>
      <c r="L358" s="2" t="s">
        <v>47</v>
      </c>
      <c r="M358" s="3">
        <v>176.56</v>
      </c>
      <c r="N358" s="3">
        <v>758.63</v>
      </c>
      <c r="O358" s="2" t="s">
        <v>61</v>
      </c>
      <c r="P358" s="3">
        <v>24.41</v>
      </c>
      <c r="Q358" t="str">
        <f t="shared" si="16"/>
        <v>2013-11</v>
      </c>
      <c r="R358" s="3">
        <f t="shared" si="17"/>
        <v>44.313708563535911</v>
      </c>
      <c r="S358" s="2" t="str">
        <f t="shared" si="15"/>
        <v>Success</v>
      </c>
    </row>
    <row r="359" spans="1:19" x14ac:dyDescent="0.3">
      <c r="A359" t="s">
        <v>424</v>
      </c>
      <c r="B359" s="1">
        <v>44709</v>
      </c>
      <c r="C359">
        <v>2022</v>
      </c>
      <c r="D359" s="2" t="s">
        <v>31</v>
      </c>
      <c r="E359" s="2" t="s">
        <v>117</v>
      </c>
      <c r="F359" s="2" t="s">
        <v>19</v>
      </c>
      <c r="G359" t="s">
        <v>20</v>
      </c>
      <c r="H359" s="3">
        <v>69.72</v>
      </c>
      <c r="I359" s="3">
        <v>473.84</v>
      </c>
      <c r="J359" s="3">
        <v>6796.33</v>
      </c>
      <c r="K359" s="1" t="s">
        <v>28</v>
      </c>
      <c r="L359" s="2" t="s">
        <v>47</v>
      </c>
      <c r="M359" s="3">
        <v>242.49</v>
      </c>
      <c r="N359" s="3">
        <v>957.47</v>
      </c>
      <c r="O359" s="2" t="s">
        <v>52</v>
      </c>
      <c r="P359" s="3">
        <v>30.22</v>
      </c>
      <c r="Q359" t="str">
        <f t="shared" si="16"/>
        <v>2022-05</v>
      </c>
      <c r="R359" s="3">
        <f t="shared" si="17"/>
        <v>97.480349971313828</v>
      </c>
      <c r="S359" s="2" t="str">
        <f t="shared" si="15"/>
        <v>Success</v>
      </c>
    </row>
    <row r="360" spans="1:19" x14ac:dyDescent="0.3">
      <c r="A360" t="s">
        <v>425</v>
      </c>
      <c r="B360" s="1">
        <v>42977</v>
      </c>
      <c r="C360">
        <v>2017</v>
      </c>
      <c r="D360" s="2" t="s">
        <v>44</v>
      </c>
      <c r="E360" s="2" t="s">
        <v>45</v>
      </c>
      <c r="F360" s="2" t="s">
        <v>33</v>
      </c>
      <c r="G360" t="s">
        <v>20</v>
      </c>
      <c r="H360" s="3">
        <v>7.69</v>
      </c>
      <c r="I360" s="3">
        <v>36.93</v>
      </c>
      <c r="J360" s="3">
        <v>4801.97</v>
      </c>
      <c r="K360" s="1" t="s">
        <v>40</v>
      </c>
      <c r="L360" s="2" t="s">
        <v>47</v>
      </c>
      <c r="M360" s="3">
        <v>219.23</v>
      </c>
      <c r="N360" s="3">
        <v>429.93</v>
      </c>
      <c r="O360" s="2" t="s">
        <v>70</v>
      </c>
      <c r="P360" s="3">
        <v>26.19</v>
      </c>
      <c r="Q360" t="str">
        <f t="shared" si="16"/>
        <v>2017-08</v>
      </c>
      <c r="R360" s="3">
        <f t="shared" si="17"/>
        <v>624.44343302990899</v>
      </c>
      <c r="S360" s="2" t="str">
        <f t="shared" si="15"/>
        <v>Success</v>
      </c>
    </row>
    <row r="361" spans="1:19" x14ac:dyDescent="0.3">
      <c r="A361" t="s">
        <v>426</v>
      </c>
      <c r="B361" s="1">
        <v>44556</v>
      </c>
      <c r="C361">
        <v>2021</v>
      </c>
      <c r="D361" s="2" t="s">
        <v>59</v>
      </c>
      <c r="E361" s="2" t="s">
        <v>60</v>
      </c>
      <c r="F361" s="2" t="s">
        <v>38</v>
      </c>
      <c r="G361" t="s">
        <v>56</v>
      </c>
      <c r="H361" s="3">
        <v>29.44</v>
      </c>
      <c r="I361" s="3">
        <v>99.91</v>
      </c>
      <c r="J361" s="3">
        <v>3393.58</v>
      </c>
      <c r="K361" s="1" t="s">
        <v>34</v>
      </c>
      <c r="L361" s="2" t="s">
        <v>47</v>
      </c>
      <c r="M361" s="3">
        <v>69.010000000000005</v>
      </c>
      <c r="N361" s="3">
        <v>1131.4000000000001</v>
      </c>
      <c r="O361" s="2" t="s">
        <v>52</v>
      </c>
      <c r="P361" s="3">
        <v>24.71</v>
      </c>
      <c r="Q361" t="str">
        <f t="shared" si="16"/>
        <v>2021-12</v>
      </c>
      <c r="R361" s="3">
        <f t="shared" si="17"/>
        <v>115.27105978260869</v>
      </c>
      <c r="S361" s="2" t="str">
        <f t="shared" si="15"/>
        <v>Success</v>
      </c>
    </row>
    <row r="362" spans="1:19" x14ac:dyDescent="0.3">
      <c r="A362" t="s">
        <v>427</v>
      </c>
      <c r="B362" s="1">
        <v>44340</v>
      </c>
      <c r="C362">
        <v>2021</v>
      </c>
      <c r="D362" s="2" t="s">
        <v>31</v>
      </c>
      <c r="E362" s="2" t="s">
        <v>82</v>
      </c>
      <c r="F362" s="2" t="s">
        <v>19</v>
      </c>
      <c r="G362" t="s">
        <v>56</v>
      </c>
      <c r="H362" s="3">
        <v>50.4</v>
      </c>
      <c r="I362" s="3">
        <v>110.78</v>
      </c>
      <c r="J362" s="3">
        <v>2198</v>
      </c>
      <c r="K362" s="1" t="s">
        <v>40</v>
      </c>
      <c r="L362" s="2" t="s">
        <v>47</v>
      </c>
      <c r="M362" s="3">
        <v>268.19</v>
      </c>
      <c r="N362" s="3">
        <v>406.78</v>
      </c>
      <c r="O362" s="2" t="s">
        <v>42</v>
      </c>
      <c r="P362" s="3">
        <v>32.520000000000003</v>
      </c>
      <c r="Q362" t="str">
        <f t="shared" si="16"/>
        <v>2021-05</v>
      </c>
      <c r="R362" s="3">
        <f t="shared" si="17"/>
        <v>43.611111111111114</v>
      </c>
      <c r="S362" s="2" t="str">
        <f t="shared" si="15"/>
        <v>Success</v>
      </c>
    </row>
    <row r="363" spans="1:19" x14ac:dyDescent="0.3">
      <c r="A363" t="s">
        <v>428</v>
      </c>
      <c r="B363" s="1">
        <v>44836</v>
      </c>
      <c r="C363">
        <v>2022</v>
      </c>
      <c r="D363" s="2" t="s">
        <v>31</v>
      </c>
      <c r="E363" s="2" t="s">
        <v>82</v>
      </c>
      <c r="F363" s="2" t="s">
        <v>33</v>
      </c>
      <c r="G363" t="s">
        <v>64</v>
      </c>
      <c r="H363" s="3">
        <v>92.1</v>
      </c>
      <c r="I363" s="3">
        <v>465.55</v>
      </c>
      <c r="J363" s="3">
        <v>5054.87</v>
      </c>
      <c r="K363" s="1" t="s">
        <v>28</v>
      </c>
      <c r="L363" s="2" t="s">
        <v>49</v>
      </c>
      <c r="M363" s="3">
        <v>203.46</v>
      </c>
      <c r="N363" s="3">
        <v>964.24</v>
      </c>
      <c r="O363" s="2" t="s">
        <v>61</v>
      </c>
      <c r="P363" s="3">
        <v>34.369999999999997</v>
      </c>
      <c r="Q363" t="str">
        <f t="shared" si="16"/>
        <v>2022-10</v>
      </c>
      <c r="R363" s="3">
        <f t="shared" si="17"/>
        <v>54.884581976112926</v>
      </c>
      <c r="S363" s="2" t="str">
        <f t="shared" si="15"/>
        <v>Success</v>
      </c>
    </row>
    <row r="364" spans="1:19" x14ac:dyDescent="0.3">
      <c r="A364" t="s">
        <v>429</v>
      </c>
      <c r="B364" s="1">
        <v>42877</v>
      </c>
      <c r="C364">
        <v>2017</v>
      </c>
      <c r="D364" s="2" t="s">
        <v>59</v>
      </c>
      <c r="E364" s="2" t="s">
        <v>63</v>
      </c>
      <c r="F364" s="2" t="s">
        <v>19</v>
      </c>
      <c r="G364" t="s">
        <v>20</v>
      </c>
      <c r="H364" s="3">
        <v>49.59</v>
      </c>
      <c r="I364" s="3">
        <v>342.49</v>
      </c>
      <c r="J364" s="3">
        <v>6906.37</v>
      </c>
      <c r="K364" s="1" t="s">
        <v>34</v>
      </c>
      <c r="L364" s="2" t="s">
        <v>29</v>
      </c>
      <c r="M364" s="3">
        <v>149.47</v>
      </c>
      <c r="N364" s="3">
        <v>950.17</v>
      </c>
      <c r="O364" s="2" t="s">
        <v>42</v>
      </c>
      <c r="P364" s="3">
        <v>20.81</v>
      </c>
      <c r="Q364" t="str">
        <f t="shared" si="16"/>
        <v>2017-05</v>
      </c>
      <c r="R364" s="3">
        <f t="shared" si="17"/>
        <v>139.26940915507157</v>
      </c>
      <c r="S364" s="2" t="str">
        <f t="shared" si="15"/>
        <v>Success</v>
      </c>
    </row>
    <row r="365" spans="1:19" x14ac:dyDescent="0.3">
      <c r="A365" t="s">
        <v>430</v>
      </c>
      <c r="B365" s="1">
        <v>40313</v>
      </c>
      <c r="C365">
        <v>2010</v>
      </c>
      <c r="D365" s="2" t="s">
        <v>36</v>
      </c>
      <c r="E365" s="2" t="s">
        <v>77</v>
      </c>
      <c r="F365" s="2" t="s">
        <v>19</v>
      </c>
      <c r="G365" t="s">
        <v>20</v>
      </c>
      <c r="H365" s="3">
        <v>39.979999999999997</v>
      </c>
      <c r="I365" s="3">
        <v>204.62</v>
      </c>
      <c r="J365" s="3">
        <v>5118.03</v>
      </c>
      <c r="K365" s="1" t="s">
        <v>40</v>
      </c>
      <c r="L365" s="2" t="s">
        <v>22</v>
      </c>
      <c r="M365" s="3">
        <v>164.3</v>
      </c>
      <c r="N365" s="3">
        <v>320.37</v>
      </c>
      <c r="O365" s="2" t="s">
        <v>61</v>
      </c>
      <c r="P365" s="3">
        <v>26.9</v>
      </c>
      <c r="Q365" t="str">
        <f t="shared" si="16"/>
        <v>2010-05</v>
      </c>
      <c r="R365" s="3">
        <f t="shared" si="17"/>
        <v>128.01475737868935</v>
      </c>
      <c r="S365" s="2" t="str">
        <f t="shared" si="15"/>
        <v>Success</v>
      </c>
    </row>
    <row r="366" spans="1:19" x14ac:dyDescent="0.3">
      <c r="A366" t="s">
        <v>431</v>
      </c>
      <c r="B366" s="1">
        <v>41666</v>
      </c>
      <c r="C366">
        <v>2013</v>
      </c>
      <c r="D366" s="2" t="s">
        <v>25</v>
      </c>
      <c r="E366" s="2" t="s">
        <v>69</v>
      </c>
      <c r="F366" s="2" t="s">
        <v>38</v>
      </c>
      <c r="G366" t="s">
        <v>27</v>
      </c>
      <c r="H366" s="3">
        <v>10.97</v>
      </c>
      <c r="I366" s="3">
        <v>34.770000000000003</v>
      </c>
      <c r="J366" s="3">
        <v>3169.61</v>
      </c>
      <c r="K366" s="1" t="s">
        <v>34</v>
      </c>
      <c r="L366" s="2" t="s">
        <v>49</v>
      </c>
      <c r="M366" s="3">
        <v>96.79</v>
      </c>
      <c r="N366" s="3">
        <v>462.85</v>
      </c>
      <c r="O366" s="2" t="s">
        <v>70</v>
      </c>
      <c r="P366" s="3">
        <v>27.07</v>
      </c>
      <c r="Q366" t="str">
        <f t="shared" si="16"/>
        <v>2014-01</v>
      </c>
      <c r="R366" s="3">
        <f t="shared" si="17"/>
        <v>288.93436645396537</v>
      </c>
      <c r="S366" s="2" t="str">
        <f t="shared" si="15"/>
        <v>Success</v>
      </c>
    </row>
    <row r="367" spans="1:19" x14ac:dyDescent="0.3">
      <c r="A367" t="s">
        <v>432</v>
      </c>
      <c r="B367" s="1">
        <v>42580</v>
      </c>
      <c r="C367">
        <v>2016</v>
      </c>
      <c r="D367" s="2" t="s">
        <v>103</v>
      </c>
      <c r="E367" s="2" t="s">
        <v>107</v>
      </c>
      <c r="F367" s="2" t="s">
        <v>33</v>
      </c>
      <c r="G367" t="s">
        <v>46</v>
      </c>
      <c r="H367" s="3">
        <v>70.37</v>
      </c>
      <c r="I367" s="3">
        <v>227.57</v>
      </c>
      <c r="J367" s="3">
        <v>3233.86</v>
      </c>
      <c r="K367" s="1" t="s">
        <v>28</v>
      </c>
      <c r="L367" s="2" t="s">
        <v>22</v>
      </c>
      <c r="M367" s="3">
        <v>119.91</v>
      </c>
      <c r="N367" s="3">
        <v>379.89</v>
      </c>
      <c r="O367" s="2" t="s">
        <v>42</v>
      </c>
      <c r="P367" s="3">
        <v>34.69</v>
      </c>
      <c r="Q367" t="str">
        <f t="shared" si="16"/>
        <v>2016-07</v>
      </c>
      <c r="R367" s="3">
        <f t="shared" si="17"/>
        <v>45.955094500497367</v>
      </c>
      <c r="S367" s="2" t="str">
        <f t="shared" si="15"/>
        <v>Success</v>
      </c>
    </row>
    <row r="368" spans="1:19" x14ac:dyDescent="0.3">
      <c r="A368" t="s">
        <v>433</v>
      </c>
      <c r="B368" s="1">
        <v>44758</v>
      </c>
      <c r="C368">
        <v>2022</v>
      </c>
      <c r="D368" s="2" t="s">
        <v>17</v>
      </c>
      <c r="E368" s="2" t="s">
        <v>72</v>
      </c>
      <c r="F368" s="2" t="s">
        <v>33</v>
      </c>
      <c r="G368" t="s">
        <v>27</v>
      </c>
      <c r="H368" s="3">
        <v>43.79</v>
      </c>
      <c r="I368" s="3">
        <v>143.86000000000001</v>
      </c>
      <c r="J368" s="3">
        <v>3285.3</v>
      </c>
      <c r="K368" s="1" t="s">
        <v>40</v>
      </c>
      <c r="L368" s="2" t="s">
        <v>29</v>
      </c>
      <c r="M368" s="3">
        <v>250.01</v>
      </c>
      <c r="N368" s="3">
        <v>938.54</v>
      </c>
      <c r="O368" s="2" t="s">
        <v>52</v>
      </c>
      <c r="P368" s="3">
        <v>32.090000000000003</v>
      </c>
      <c r="Q368" t="str">
        <f t="shared" si="16"/>
        <v>2022-07</v>
      </c>
      <c r="R368" s="3">
        <f t="shared" si="17"/>
        <v>75.023978077186584</v>
      </c>
      <c r="S368" s="2" t="str">
        <f t="shared" si="15"/>
        <v>Success</v>
      </c>
    </row>
    <row r="369" spans="1:19" x14ac:dyDescent="0.3">
      <c r="A369" t="s">
        <v>434</v>
      </c>
      <c r="B369" s="1">
        <v>43966</v>
      </c>
      <c r="C369">
        <v>2020</v>
      </c>
      <c r="D369" s="2" t="s">
        <v>36</v>
      </c>
      <c r="E369" s="2" t="s">
        <v>37</v>
      </c>
      <c r="F369" s="2" t="s">
        <v>19</v>
      </c>
      <c r="G369" t="s">
        <v>27</v>
      </c>
      <c r="H369" s="3">
        <v>72.34</v>
      </c>
      <c r="I369" s="3">
        <v>413.21</v>
      </c>
      <c r="J369" s="3">
        <v>5712</v>
      </c>
      <c r="K369" s="1" t="s">
        <v>34</v>
      </c>
      <c r="L369" s="2" t="s">
        <v>41</v>
      </c>
      <c r="M369" s="3">
        <v>112.74</v>
      </c>
      <c r="N369" s="3">
        <v>1058.5</v>
      </c>
      <c r="O369" s="2" t="s">
        <v>23</v>
      </c>
      <c r="P369" s="3">
        <v>25.98</v>
      </c>
      <c r="Q369" t="str">
        <f t="shared" si="16"/>
        <v>2020-05</v>
      </c>
      <c r="R369" s="3">
        <f t="shared" si="17"/>
        <v>78.960464473320428</v>
      </c>
      <c r="S369" s="2" t="str">
        <f t="shared" si="15"/>
        <v>Success</v>
      </c>
    </row>
    <row r="370" spans="1:19" x14ac:dyDescent="0.3">
      <c r="A370" t="s">
        <v>435</v>
      </c>
      <c r="B370" s="1">
        <v>42049</v>
      </c>
      <c r="C370">
        <v>2014</v>
      </c>
      <c r="D370" s="2" t="s">
        <v>25</v>
      </c>
      <c r="E370" s="2" t="s">
        <v>26</v>
      </c>
      <c r="F370" s="2" t="s">
        <v>38</v>
      </c>
      <c r="G370" t="s">
        <v>39</v>
      </c>
      <c r="H370" s="3">
        <v>10.53</v>
      </c>
      <c r="I370" s="3">
        <v>57.57</v>
      </c>
      <c r="J370" s="3">
        <v>5467.56</v>
      </c>
      <c r="K370" s="1" t="s">
        <v>34</v>
      </c>
      <c r="L370" s="2" t="s">
        <v>22</v>
      </c>
      <c r="M370" s="3">
        <v>140.24</v>
      </c>
      <c r="N370" s="3">
        <v>760.35</v>
      </c>
      <c r="O370" s="2" t="s">
        <v>70</v>
      </c>
      <c r="P370" s="3">
        <v>25.16</v>
      </c>
      <c r="Q370" t="str">
        <f t="shared" si="16"/>
        <v>2015-02</v>
      </c>
      <c r="R370" s="3">
        <f t="shared" si="17"/>
        <v>519.23646723646732</v>
      </c>
      <c r="S370" s="2" t="str">
        <f t="shared" si="15"/>
        <v>Success</v>
      </c>
    </row>
    <row r="371" spans="1:19" x14ac:dyDescent="0.3">
      <c r="A371" t="s">
        <v>436</v>
      </c>
      <c r="B371" s="1">
        <v>43741</v>
      </c>
      <c r="C371">
        <v>2019</v>
      </c>
      <c r="D371" s="2" t="s">
        <v>31</v>
      </c>
      <c r="E371" s="2" t="s">
        <v>117</v>
      </c>
      <c r="F371" s="2" t="s">
        <v>33</v>
      </c>
      <c r="G371" t="s">
        <v>27</v>
      </c>
      <c r="H371" s="3">
        <v>58.01</v>
      </c>
      <c r="I371" s="3">
        <v>283.95</v>
      </c>
      <c r="J371" s="3">
        <v>4894.79</v>
      </c>
      <c r="K371" s="1" t="s">
        <v>40</v>
      </c>
      <c r="L371" s="2" t="s">
        <v>29</v>
      </c>
      <c r="M371" s="3">
        <v>294.83999999999997</v>
      </c>
      <c r="N371" s="3">
        <v>484.61</v>
      </c>
      <c r="O371" s="2" t="s">
        <v>70</v>
      </c>
      <c r="P371" s="3">
        <v>30.1</v>
      </c>
      <c r="Q371" t="str">
        <f t="shared" si="16"/>
        <v>2019-10</v>
      </c>
      <c r="R371" s="3">
        <f t="shared" si="17"/>
        <v>84.378383037407346</v>
      </c>
      <c r="S371" s="2" t="str">
        <f t="shared" si="15"/>
        <v>Success</v>
      </c>
    </row>
    <row r="372" spans="1:19" x14ac:dyDescent="0.3">
      <c r="A372" t="s">
        <v>437</v>
      </c>
      <c r="B372" s="1">
        <v>43916</v>
      </c>
      <c r="C372">
        <v>2019</v>
      </c>
      <c r="D372" s="2" t="s">
        <v>25</v>
      </c>
      <c r="E372" s="2" t="s">
        <v>87</v>
      </c>
      <c r="F372" s="2" t="s">
        <v>38</v>
      </c>
      <c r="G372" t="s">
        <v>46</v>
      </c>
      <c r="H372" s="3">
        <v>63.54</v>
      </c>
      <c r="I372" s="3">
        <v>118.76</v>
      </c>
      <c r="J372" s="3">
        <v>1869.09</v>
      </c>
      <c r="K372" s="1" t="s">
        <v>40</v>
      </c>
      <c r="L372" s="2" t="s">
        <v>29</v>
      </c>
      <c r="M372" s="3">
        <v>210.15</v>
      </c>
      <c r="N372" s="3">
        <v>1128.57</v>
      </c>
      <c r="O372" s="2" t="s">
        <v>52</v>
      </c>
      <c r="P372" s="3">
        <v>29.47</v>
      </c>
      <c r="Q372" t="str">
        <f t="shared" si="16"/>
        <v>2020-03</v>
      </c>
      <c r="R372" s="3">
        <f t="shared" si="17"/>
        <v>29.415958451369214</v>
      </c>
      <c r="S372" s="2" t="str">
        <f t="shared" si="15"/>
        <v>Success</v>
      </c>
    </row>
    <row r="373" spans="1:19" x14ac:dyDescent="0.3">
      <c r="A373" t="s">
        <v>438</v>
      </c>
      <c r="B373" s="1">
        <v>40808</v>
      </c>
      <c r="C373">
        <v>2011</v>
      </c>
      <c r="D373" s="2" t="s">
        <v>44</v>
      </c>
      <c r="E373" s="2" t="s">
        <v>45</v>
      </c>
      <c r="F373" s="2" t="s">
        <v>33</v>
      </c>
      <c r="G373" t="s">
        <v>20</v>
      </c>
      <c r="H373" s="3">
        <v>23.59</v>
      </c>
      <c r="I373" s="3">
        <v>68.44</v>
      </c>
      <c r="J373" s="3">
        <v>2901.27</v>
      </c>
      <c r="K373" s="1" t="s">
        <v>34</v>
      </c>
      <c r="L373" s="2" t="s">
        <v>49</v>
      </c>
      <c r="M373" s="3">
        <v>227.61</v>
      </c>
      <c r="N373" s="3">
        <v>805.38</v>
      </c>
      <c r="O373" s="2" t="s">
        <v>52</v>
      </c>
      <c r="P373" s="3">
        <v>24.07</v>
      </c>
      <c r="Q373" t="str">
        <f t="shared" si="16"/>
        <v>2011-09</v>
      </c>
      <c r="R373" s="3">
        <f t="shared" si="17"/>
        <v>122.98728274692667</v>
      </c>
      <c r="S373" s="2" t="str">
        <f t="shared" si="15"/>
        <v>Success</v>
      </c>
    </row>
    <row r="374" spans="1:19" x14ac:dyDescent="0.3">
      <c r="A374" t="s">
        <v>439</v>
      </c>
      <c r="B374" s="1">
        <v>43506</v>
      </c>
      <c r="C374">
        <v>2018</v>
      </c>
      <c r="D374" s="2" t="s">
        <v>17</v>
      </c>
      <c r="E374" s="2" t="s">
        <v>54</v>
      </c>
      <c r="F374" s="2" t="s">
        <v>38</v>
      </c>
      <c r="G374" t="s">
        <v>46</v>
      </c>
      <c r="H374" s="3">
        <v>17.559999999999999</v>
      </c>
      <c r="I374" s="3">
        <v>107.56</v>
      </c>
      <c r="J374" s="3">
        <v>6125.27</v>
      </c>
      <c r="K374" s="1" t="s">
        <v>40</v>
      </c>
      <c r="L374" s="2" t="s">
        <v>22</v>
      </c>
      <c r="M374" s="3">
        <v>231.94</v>
      </c>
      <c r="N374" s="3">
        <v>862.02</v>
      </c>
      <c r="O374" s="2" t="s">
        <v>23</v>
      </c>
      <c r="P374" s="3">
        <v>23.16</v>
      </c>
      <c r="Q374" t="str">
        <f t="shared" si="16"/>
        <v>2019-02</v>
      </c>
      <c r="R374" s="3">
        <f t="shared" si="17"/>
        <v>348.8194760820046</v>
      </c>
      <c r="S374" s="2" t="str">
        <f t="shared" si="15"/>
        <v>Success</v>
      </c>
    </row>
    <row r="375" spans="1:19" x14ac:dyDescent="0.3">
      <c r="A375" t="s">
        <v>440</v>
      </c>
      <c r="B375" s="1">
        <v>42882</v>
      </c>
      <c r="C375">
        <v>2017</v>
      </c>
      <c r="D375" s="2" t="s">
        <v>25</v>
      </c>
      <c r="E375" s="2" t="s">
        <v>26</v>
      </c>
      <c r="F375" s="2" t="s">
        <v>19</v>
      </c>
      <c r="G375" t="s">
        <v>64</v>
      </c>
      <c r="H375" s="3">
        <v>3.61</v>
      </c>
      <c r="I375" s="3">
        <v>12.21</v>
      </c>
      <c r="J375" s="3">
        <v>3382.08</v>
      </c>
      <c r="K375" s="1" t="s">
        <v>21</v>
      </c>
      <c r="L375" s="2" t="s">
        <v>29</v>
      </c>
      <c r="M375" s="3">
        <v>75.98</v>
      </c>
      <c r="N375" s="3">
        <v>818.1</v>
      </c>
      <c r="O375" s="2" t="s">
        <v>23</v>
      </c>
      <c r="P375" s="3">
        <v>29.82</v>
      </c>
      <c r="Q375" t="str">
        <f t="shared" si="16"/>
        <v>2017-05</v>
      </c>
      <c r="R375" s="3">
        <f t="shared" si="17"/>
        <v>936.86426592797784</v>
      </c>
      <c r="S375" s="2" t="str">
        <f t="shared" si="15"/>
        <v>Success</v>
      </c>
    </row>
    <row r="376" spans="1:19" x14ac:dyDescent="0.3">
      <c r="A376" t="s">
        <v>441</v>
      </c>
      <c r="B376" s="1">
        <v>41394</v>
      </c>
      <c r="C376">
        <v>2013</v>
      </c>
      <c r="D376" s="2" t="s">
        <v>31</v>
      </c>
      <c r="E376" s="2" t="s">
        <v>82</v>
      </c>
      <c r="F376" s="2" t="s">
        <v>19</v>
      </c>
      <c r="G376" t="s">
        <v>20</v>
      </c>
      <c r="H376" s="3">
        <v>44.87</v>
      </c>
      <c r="I376" s="3">
        <v>78.900000000000006</v>
      </c>
      <c r="J376" s="3">
        <v>1758.47</v>
      </c>
      <c r="K376" s="1" t="s">
        <v>40</v>
      </c>
      <c r="L376" s="2" t="s">
        <v>47</v>
      </c>
      <c r="M376" s="3">
        <v>57.14</v>
      </c>
      <c r="N376" s="3">
        <v>863.55</v>
      </c>
      <c r="O376" s="2" t="s">
        <v>70</v>
      </c>
      <c r="P376" s="3">
        <v>32.96</v>
      </c>
      <c r="Q376" t="str">
        <f t="shared" si="16"/>
        <v>2013-04</v>
      </c>
      <c r="R376" s="3">
        <f t="shared" si="17"/>
        <v>39.190327613104529</v>
      </c>
      <c r="S376" s="2" t="str">
        <f t="shared" si="15"/>
        <v>Success</v>
      </c>
    </row>
    <row r="377" spans="1:19" x14ac:dyDescent="0.3">
      <c r="A377" t="s">
        <v>442</v>
      </c>
      <c r="B377" s="1">
        <v>43023</v>
      </c>
      <c r="C377">
        <v>2017</v>
      </c>
      <c r="D377" s="2" t="s">
        <v>31</v>
      </c>
      <c r="E377" s="2" t="s">
        <v>117</v>
      </c>
      <c r="F377" s="2" t="s">
        <v>33</v>
      </c>
      <c r="G377" t="s">
        <v>39</v>
      </c>
      <c r="H377" s="3">
        <v>54.39</v>
      </c>
      <c r="I377" s="3">
        <v>247.2</v>
      </c>
      <c r="J377" s="3">
        <v>4544.99</v>
      </c>
      <c r="K377" s="1" t="s">
        <v>28</v>
      </c>
      <c r="L377" s="2" t="s">
        <v>49</v>
      </c>
      <c r="M377" s="3">
        <v>207.76</v>
      </c>
      <c r="N377" s="3">
        <v>835.85</v>
      </c>
      <c r="O377" s="2" t="s">
        <v>61</v>
      </c>
      <c r="P377" s="3">
        <v>26.52</v>
      </c>
      <c r="Q377" t="str">
        <f t="shared" si="16"/>
        <v>2017-10</v>
      </c>
      <c r="R377" s="3">
        <f t="shared" si="17"/>
        <v>83.562971134399703</v>
      </c>
      <c r="S377" s="2" t="str">
        <f t="shared" si="15"/>
        <v>Success</v>
      </c>
    </row>
    <row r="378" spans="1:19" x14ac:dyDescent="0.3">
      <c r="A378" t="s">
        <v>443</v>
      </c>
      <c r="B378" s="1">
        <v>43286</v>
      </c>
      <c r="C378">
        <v>2018</v>
      </c>
      <c r="D378" s="2" t="s">
        <v>31</v>
      </c>
      <c r="E378" s="2" t="s">
        <v>32</v>
      </c>
      <c r="F378" s="2" t="s">
        <v>33</v>
      </c>
      <c r="G378" t="s">
        <v>64</v>
      </c>
      <c r="H378" s="3">
        <v>44.74</v>
      </c>
      <c r="I378" s="3">
        <v>142.93</v>
      </c>
      <c r="J378" s="3">
        <v>3194.7</v>
      </c>
      <c r="K378" s="1" t="s">
        <v>34</v>
      </c>
      <c r="L378" s="2" t="s">
        <v>49</v>
      </c>
      <c r="M378" s="3">
        <v>88.93</v>
      </c>
      <c r="N378" s="3">
        <v>210.56</v>
      </c>
      <c r="O378" s="2" t="s">
        <v>61</v>
      </c>
      <c r="P378" s="3">
        <v>32.229999999999997</v>
      </c>
      <c r="Q378" t="str">
        <f t="shared" si="16"/>
        <v>2018-07</v>
      </c>
      <c r="R378" s="3">
        <f t="shared" si="17"/>
        <v>71.405900759946348</v>
      </c>
      <c r="S378" s="2" t="str">
        <f t="shared" si="15"/>
        <v>Success</v>
      </c>
    </row>
    <row r="379" spans="1:19" x14ac:dyDescent="0.3">
      <c r="A379" t="s">
        <v>444</v>
      </c>
      <c r="B379" s="1">
        <v>43253</v>
      </c>
      <c r="C379">
        <v>2018</v>
      </c>
      <c r="D379" s="2" t="s">
        <v>31</v>
      </c>
      <c r="E379" s="2" t="s">
        <v>32</v>
      </c>
      <c r="F379" s="2" t="s">
        <v>33</v>
      </c>
      <c r="G379" t="s">
        <v>39</v>
      </c>
      <c r="H379" s="3">
        <v>92.29</v>
      </c>
      <c r="I379" s="3">
        <v>616.66</v>
      </c>
      <c r="J379" s="3">
        <v>6681.75</v>
      </c>
      <c r="K379" s="1" t="s">
        <v>28</v>
      </c>
      <c r="L379" s="2" t="s">
        <v>47</v>
      </c>
      <c r="M379" s="3">
        <v>124.9</v>
      </c>
      <c r="N379" s="3">
        <v>965.87</v>
      </c>
      <c r="O379" s="2" t="s">
        <v>70</v>
      </c>
      <c r="P379" s="3">
        <v>28.96</v>
      </c>
      <c r="Q379" t="str">
        <f t="shared" si="16"/>
        <v>2018-06</v>
      </c>
      <c r="R379" s="3">
        <f t="shared" si="17"/>
        <v>72.399501571134465</v>
      </c>
      <c r="S379" s="2" t="str">
        <f t="shared" si="15"/>
        <v>Success</v>
      </c>
    </row>
    <row r="380" spans="1:19" x14ac:dyDescent="0.3">
      <c r="A380" t="s">
        <v>445</v>
      </c>
      <c r="B380" s="1">
        <v>42476</v>
      </c>
      <c r="C380">
        <v>2016</v>
      </c>
      <c r="D380" s="2" t="s">
        <v>31</v>
      </c>
      <c r="E380" s="2" t="s">
        <v>82</v>
      </c>
      <c r="F380" s="2" t="s">
        <v>19</v>
      </c>
      <c r="G380" t="s">
        <v>46</v>
      </c>
      <c r="H380" s="3">
        <v>40.08</v>
      </c>
      <c r="I380" s="3">
        <v>79.34</v>
      </c>
      <c r="J380" s="3">
        <v>1979.62</v>
      </c>
      <c r="K380" s="1" t="s">
        <v>28</v>
      </c>
      <c r="L380" s="2" t="s">
        <v>47</v>
      </c>
      <c r="M380" s="3">
        <v>257.11</v>
      </c>
      <c r="N380" s="3">
        <v>420.59</v>
      </c>
      <c r="O380" s="2" t="s">
        <v>23</v>
      </c>
      <c r="P380" s="3">
        <v>26.33</v>
      </c>
      <c r="Q380" t="str">
        <f t="shared" si="16"/>
        <v>2016-04</v>
      </c>
      <c r="R380" s="3">
        <f t="shared" si="17"/>
        <v>49.391716566866265</v>
      </c>
      <c r="S380" s="2" t="str">
        <f t="shared" si="15"/>
        <v>Success</v>
      </c>
    </row>
    <row r="381" spans="1:19" x14ac:dyDescent="0.3">
      <c r="A381" t="s">
        <v>446</v>
      </c>
      <c r="B381" s="1">
        <v>44659</v>
      </c>
      <c r="C381">
        <v>2022</v>
      </c>
      <c r="D381" s="2" t="s">
        <v>44</v>
      </c>
      <c r="E381" s="2" t="s">
        <v>67</v>
      </c>
      <c r="F381" s="2" t="s">
        <v>19</v>
      </c>
      <c r="G381" t="s">
        <v>39</v>
      </c>
      <c r="H381" s="3">
        <v>27.91</v>
      </c>
      <c r="I381" s="3">
        <v>136.5</v>
      </c>
      <c r="J381" s="3">
        <v>4890.74</v>
      </c>
      <c r="K381" s="1" t="s">
        <v>34</v>
      </c>
      <c r="L381" s="2" t="s">
        <v>29</v>
      </c>
      <c r="M381" s="3">
        <v>153.22999999999999</v>
      </c>
      <c r="N381" s="3">
        <v>1053.48</v>
      </c>
      <c r="O381" s="2" t="s">
        <v>42</v>
      </c>
      <c r="P381" s="3">
        <v>22.05</v>
      </c>
      <c r="Q381" t="str">
        <f t="shared" si="16"/>
        <v>2022-04</v>
      </c>
      <c r="R381" s="3">
        <f t="shared" si="17"/>
        <v>175.23253314224291</v>
      </c>
      <c r="S381" s="2" t="str">
        <f t="shared" si="15"/>
        <v>Success</v>
      </c>
    </row>
    <row r="382" spans="1:19" x14ac:dyDescent="0.3">
      <c r="A382" t="s">
        <v>447</v>
      </c>
      <c r="B382" s="1">
        <v>41748</v>
      </c>
      <c r="C382">
        <v>2014</v>
      </c>
      <c r="D382" s="2" t="s">
        <v>59</v>
      </c>
      <c r="E382" s="2" t="s">
        <v>63</v>
      </c>
      <c r="F382" s="2" t="s">
        <v>19</v>
      </c>
      <c r="G382" t="s">
        <v>27</v>
      </c>
      <c r="H382" s="3">
        <v>49.71</v>
      </c>
      <c r="I382" s="3">
        <v>145.35</v>
      </c>
      <c r="J382" s="3">
        <v>2923.86</v>
      </c>
      <c r="K382" s="1" t="s">
        <v>40</v>
      </c>
      <c r="L382" s="2" t="s">
        <v>49</v>
      </c>
      <c r="M382" s="3">
        <v>62.41</v>
      </c>
      <c r="N382" s="3">
        <v>734.97</v>
      </c>
      <c r="O382" s="2" t="s">
        <v>42</v>
      </c>
      <c r="P382" s="3">
        <v>34.58</v>
      </c>
      <c r="Q382" t="str">
        <f t="shared" si="16"/>
        <v>2014-04</v>
      </c>
      <c r="R382" s="3">
        <f t="shared" si="17"/>
        <v>58.818346409173209</v>
      </c>
      <c r="S382" s="2" t="str">
        <f t="shared" si="15"/>
        <v>Success</v>
      </c>
    </row>
    <row r="383" spans="1:19" x14ac:dyDescent="0.3">
      <c r="A383" t="s">
        <v>448</v>
      </c>
      <c r="B383" s="1">
        <v>42855</v>
      </c>
      <c r="C383">
        <v>2017</v>
      </c>
      <c r="D383" s="2" t="s">
        <v>103</v>
      </c>
      <c r="E383" s="2" t="s">
        <v>228</v>
      </c>
      <c r="F383" s="2" t="s">
        <v>19</v>
      </c>
      <c r="G383" t="s">
        <v>64</v>
      </c>
      <c r="H383" s="3">
        <v>24.05</v>
      </c>
      <c r="I383" s="3">
        <v>45.79</v>
      </c>
      <c r="J383" s="3">
        <v>1904.1</v>
      </c>
      <c r="K383" s="1" t="s">
        <v>28</v>
      </c>
      <c r="L383" s="2" t="s">
        <v>22</v>
      </c>
      <c r="M383" s="3">
        <v>104.3</v>
      </c>
      <c r="N383" s="3">
        <v>620.24</v>
      </c>
      <c r="O383" s="2" t="s">
        <v>52</v>
      </c>
      <c r="P383" s="3">
        <v>34.97</v>
      </c>
      <c r="Q383" t="str">
        <f t="shared" si="16"/>
        <v>2017-04</v>
      </c>
      <c r="R383" s="3">
        <f t="shared" si="17"/>
        <v>79.172557172557163</v>
      </c>
      <c r="S383" s="2" t="str">
        <f t="shared" si="15"/>
        <v>Success</v>
      </c>
    </row>
    <row r="384" spans="1:19" x14ac:dyDescent="0.3">
      <c r="A384" t="s">
        <v>449</v>
      </c>
      <c r="B384" s="1">
        <v>44716</v>
      </c>
      <c r="C384">
        <v>2022</v>
      </c>
      <c r="D384" s="2" t="s">
        <v>31</v>
      </c>
      <c r="E384" s="2" t="s">
        <v>82</v>
      </c>
      <c r="F384" s="2" t="s">
        <v>33</v>
      </c>
      <c r="G384" t="s">
        <v>64</v>
      </c>
      <c r="H384" s="3">
        <v>27.38</v>
      </c>
      <c r="I384" s="3">
        <v>91.85</v>
      </c>
      <c r="J384" s="3">
        <v>3354.53</v>
      </c>
      <c r="K384" s="1" t="s">
        <v>28</v>
      </c>
      <c r="L384" s="2" t="s">
        <v>22</v>
      </c>
      <c r="M384" s="3">
        <v>95.4</v>
      </c>
      <c r="N384" s="3">
        <v>1095.7</v>
      </c>
      <c r="O384" s="2" t="s">
        <v>70</v>
      </c>
      <c r="P384" s="3">
        <v>32.26</v>
      </c>
      <c r="Q384" t="str">
        <f t="shared" si="16"/>
        <v>2022-06</v>
      </c>
      <c r="R384" s="3">
        <f t="shared" si="17"/>
        <v>122.51753104455808</v>
      </c>
      <c r="S384" s="2" t="str">
        <f t="shared" si="15"/>
        <v>Success</v>
      </c>
    </row>
    <row r="385" spans="1:19" x14ac:dyDescent="0.3">
      <c r="A385" t="s">
        <v>450</v>
      </c>
      <c r="B385" s="1">
        <v>41632</v>
      </c>
      <c r="C385">
        <v>2013</v>
      </c>
      <c r="D385" s="2" t="s">
        <v>44</v>
      </c>
      <c r="E385" s="2" t="s">
        <v>67</v>
      </c>
      <c r="F385" s="2" t="s">
        <v>38</v>
      </c>
      <c r="G385" t="s">
        <v>46</v>
      </c>
      <c r="H385" s="3">
        <v>25.47</v>
      </c>
      <c r="I385" s="3">
        <v>177.45</v>
      </c>
      <c r="J385" s="3">
        <v>6967.21</v>
      </c>
      <c r="K385" s="1" t="s">
        <v>40</v>
      </c>
      <c r="L385" s="2" t="s">
        <v>29</v>
      </c>
      <c r="M385" s="3">
        <v>165.21</v>
      </c>
      <c r="N385" s="3">
        <v>971</v>
      </c>
      <c r="O385" s="2" t="s">
        <v>61</v>
      </c>
      <c r="P385" s="3">
        <v>29.99</v>
      </c>
      <c r="Q385" t="str">
        <f t="shared" si="16"/>
        <v>2013-12</v>
      </c>
      <c r="R385" s="3">
        <f t="shared" si="17"/>
        <v>273.54574008637616</v>
      </c>
      <c r="S385" s="2" t="str">
        <f t="shared" si="15"/>
        <v>Success</v>
      </c>
    </row>
    <row r="386" spans="1:19" x14ac:dyDescent="0.3">
      <c r="A386" t="s">
        <v>451</v>
      </c>
      <c r="B386" s="1">
        <v>41957</v>
      </c>
      <c r="C386">
        <v>2014</v>
      </c>
      <c r="D386" s="2" t="s">
        <v>36</v>
      </c>
      <c r="E386" s="2" t="s">
        <v>77</v>
      </c>
      <c r="F386" s="2" t="s">
        <v>38</v>
      </c>
      <c r="G386" t="s">
        <v>56</v>
      </c>
      <c r="H386" s="3">
        <v>63.29</v>
      </c>
      <c r="I386" s="3">
        <v>79.31</v>
      </c>
      <c r="J386" s="3">
        <v>1253.1199999999999</v>
      </c>
      <c r="K386" s="1" t="s">
        <v>21</v>
      </c>
      <c r="L386" s="2" t="s">
        <v>41</v>
      </c>
      <c r="M386" s="3">
        <v>113.33</v>
      </c>
      <c r="N386" s="3">
        <v>838.52</v>
      </c>
      <c r="O386" s="2" t="s">
        <v>42</v>
      </c>
      <c r="P386" s="3">
        <v>25.41</v>
      </c>
      <c r="Q386" t="str">
        <f t="shared" si="16"/>
        <v>2014-11</v>
      </c>
      <c r="R386" s="3">
        <f t="shared" si="17"/>
        <v>19.799652393743084</v>
      </c>
      <c r="S386" s="2" t="str">
        <f t="shared" ref="S386:S449" si="18">IF(R386&lt;=0, "Failure","Success")</f>
        <v>Success</v>
      </c>
    </row>
    <row r="387" spans="1:19" x14ac:dyDescent="0.3">
      <c r="A387" t="s">
        <v>452</v>
      </c>
      <c r="B387" s="1">
        <v>44257</v>
      </c>
      <c r="C387">
        <v>2020</v>
      </c>
      <c r="D387" s="2" t="s">
        <v>25</v>
      </c>
      <c r="E387" s="2" t="s">
        <v>26</v>
      </c>
      <c r="F387" s="2" t="s">
        <v>38</v>
      </c>
      <c r="G387" t="s">
        <v>20</v>
      </c>
      <c r="H387" s="3">
        <v>2.4900000000000002</v>
      </c>
      <c r="I387" s="3">
        <v>14.36</v>
      </c>
      <c r="J387" s="3">
        <v>5766.34</v>
      </c>
      <c r="K387" s="1" t="s">
        <v>21</v>
      </c>
      <c r="L387" s="2" t="s">
        <v>47</v>
      </c>
      <c r="M387" s="3">
        <v>148.94999999999999</v>
      </c>
      <c r="N387" s="3">
        <v>443.09</v>
      </c>
      <c r="O387" s="2" t="s">
        <v>23</v>
      </c>
      <c r="P387" s="3">
        <v>28.72</v>
      </c>
      <c r="Q387" t="str">
        <f t="shared" ref="Q387:Q450" si="19">TEXT(B387,"yyyy-mm")</f>
        <v>2021-03</v>
      </c>
      <c r="R387" s="3">
        <f t="shared" ref="R387:R450" si="20">J387/H387</f>
        <v>2315.7991967871485</v>
      </c>
      <c r="S387" s="2" t="str">
        <f t="shared" si="18"/>
        <v>Success</v>
      </c>
    </row>
    <row r="388" spans="1:19" x14ac:dyDescent="0.3">
      <c r="A388" t="s">
        <v>453</v>
      </c>
      <c r="B388" s="1">
        <v>44752</v>
      </c>
      <c r="C388">
        <v>2022</v>
      </c>
      <c r="D388" s="2" t="s">
        <v>103</v>
      </c>
      <c r="E388" s="2" t="s">
        <v>107</v>
      </c>
      <c r="F388" s="2" t="s">
        <v>33</v>
      </c>
      <c r="G388" t="s">
        <v>56</v>
      </c>
      <c r="H388" s="3">
        <v>16.61</v>
      </c>
      <c r="I388" s="3">
        <v>25.72</v>
      </c>
      <c r="J388" s="3">
        <v>1548.41</v>
      </c>
      <c r="K388" s="1" t="s">
        <v>34</v>
      </c>
      <c r="L388" s="2" t="s">
        <v>47</v>
      </c>
      <c r="M388" s="3">
        <v>282.70999999999998</v>
      </c>
      <c r="N388" s="3">
        <v>1196.97</v>
      </c>
      <c r="O388" s="2" t="s">
        <v>23</v>
      </c>
      <c r="P388" s="3">
        <v>20.9</v>
      </c>
      <c r="Q388" t="str">
        <f t="shared" si="19"/>
        <v>2022-07</v>
      </c>
      <c r="R388" s="3">
        <f t="shared" si="20"/>
        <v>93.221553281155934</v>
      </c>
      <c r="S388" s="2" t="str">
        <f t="shared" si="18"/>
        <v>Success</v>
      </c>
    </row>
    <row r="389" spans="1:19" x14ac:dyDescent="0.3">
      <c r="A389" t="s">
        <v>454</v>
      </c>
      <c r="B389" s="1">
        <v>41310</v>
      </c>
      <c r="C389">
        <v>2012</v>
      </c>
      <c r="D389" s="2" t="s">
        <v>44</v>
      </c>
      <c r="E389" s="2" t="s">
        <v>45</v>
      </c>
      <c r="F389" s="2" t="s">
        <v>38</v>
      </c>
      <c r="G389" t="s">
        <v>56</v>
      </c>
      <c r="H389" s="3">
        <v>32.36</v>
      </c>
      <c r="I389" s="3">
        <v>140.77000000000001</v>
      </c>
      <c r="J389" s="3">
        <v>4350.1000000000004</v>
      </c>
      <c r="K389" s="1" t="s">
        <v>34</v>
      </c>
      <c r="L389" s="2" t="s">
        <v>49</v>
      </c>
      <c r="M389" s="3">
        <v>251.38</v>
      </c>
      <c r="N389" s="3">
        <v>638.72</v>
      </c>
      <c r="O389" s="2" t="s">
        <v>42</v>
      </c>
      <c r="P389" s="3">
        <v>20.32</v>
      </c>
      <c r="Q389" t="str">
        <f t="shared" si="19"/>
        <v>2013-02</v>
      </c>
      <c r="R389" s="3">
        <f t="shared" si="20"/>
        <v>134.42830655129791</v>
      </c>
      <c r="S389" s="2" t="str">
        <f t="shared" si="18"/>
        <v>Success</v>
      </c>
    </row>
    <row r="390" spans="1:19" x14ac:dyDescent="0.3">
      <c r="A390" t="s">
        <v>455</v>
      </c>
      <c r="B390" s="1">
        <v>41910</v>
      </c>
      <c r="C390">
        <v>2014</v>
      </c>
      <c r="D390" s="2" t="s">
        <v>17</v>
      </c>
      <c r="E390" s="2" t="s">
        <v>18</v>
      </c>
      <c r="F390" s="2" t="s">
        <v>33</v>
      </c>
      <c r="G390" t="s">
        <v>46</v>
      </c>
      <c r="H390" s="3">
        <v>70.959999999999994</v>
      </c>
      <c r="I390" s="3">
        <v>308.97000000000003</v>
      </c>
      <c r="J390" s="3">
        <v>4354.1499999999996</v>
      </c>
      <c r="K390" s="1" t="s">
        <v>28</v>
      </c>
      <c r="L390" s="2" t="s">
        <v>49</v>
      </c>
      <c r="M390" s="3">
        <v>97.44</v>
      </c>
      <c r="N390" s="3">
        <v>386.63</v>
      </c>
      <c r="O390" s="2" t="s">
        <v>70</v>
      </c>
      <c r="P390" s="3">
        <v>24.86</v>
      </c>
      <c r="Q390" t="str">
        <f t="shared" si="19"/>
        <v>2014-09</v>
      </c>
      <c r="R390" s="3">
        <f t="shared" si="20"/>
        <v>61.360625704622322</v>
      </c>
      <c r="S390" s="2" t="str">
        <f t="shared" si="18"/>
        <v>Success</v>
      </c>
    </row>
    <row r="391" spans="1:19" x14ac:dyDescent="0.3">
      <c r="A391" t="s">
        <v>456</v>
      </c>
      <c r="B391" s="1">
        <v>43299</v>
      </c>
      <c r="C391">
        <v>2018</v>
      </c>
      <c r="D391" s="2" t="s">
        <v>44</v>
      </c>
      <c r="E391" s="2" t="s">
        <v>67</v>
      </c>
      <c r="F391" s="2" t="s">
        <v>33</v>
      </c>
      <c r="G391" t="s">
        <v>64</v>
      </c>
      <c r="H391" s="3">
        <v>53.58</v>
      </c>
      <c r="I391" s="3">
        <v>198.05</v>
      </c>
      <c r="J391" s="3">
        <v>3696.31</v>
      </c>
      <c r="K391" s="1" t="s">
        <v>34</v>
      </c>
      <c r="L391" s="2" t="s">
        <v>22</v>
      </c>
      <c r="M391" s="3">
        <v>185.4</v>
      </c>
      <c r="N391" s="3">
        <v>654.08000000000004</v>
      </c>
      <c r="O391" s="2" t="s">
        <v>61</v>
      </c>
      <c r="P391" s="3">
        <v>25.69</v>
      </c>
      <c r="Q391" t="str">
        <f t="shared" si="19"/>
        <v>2018-07</v>
      </c>
      <c r="R391" s="3">
        <f t="shared" si="20"/>
        <v>68.986748786860772</v>
      </c>
      <c r="S391" s="2" t="str">
        <f t="shared" si="18"/>
        <v>Success</v>
      </c>
    </row>
    <row r="392" spans="1:19" x14ac:dyDescent="0.3">
      <c r="A392" t="s">
        <v>457</v>
      </c>
      <c r="B392" s="1">
        <v>44670</v>
      </c>
      <c r="C392">
        <v>2022</v>
      </c>
      <c r="D392" s="2" t="s">
        <v>59</v>
      </c>
      <c r="E392" s="2" t="s">
        <v>63</v>
      </c>
      <c r="F392" s="2" t="s">
        <v>19</v>
      </c>
      <c r="G392" t="s">
        <v>56</v>
      </c>
      <c r="H392" s="3">
        <v>32.75</v>
      </c>
      <c r="I392" s="3">
        <v>45.2</v>
      </c>
      <c r="J392" s="3">
        <v>1380.05</v>
      </c>
      <c r="K392" s="1" t="s">
        <v>28</v>
      </c>
      <c r="L392" s="2" t="s">
        <v>49</v>
      </c>
      <c r="M392" s="3">
        <v>97.47</v>
      </c>
      <c r="N392" s="3">
        <v>883.22</v>
      </c>
      <c r="O392" s="2" t="s">
        <v>61</v>
      </c>
      <c r="P392" s="3">
        <v>22.31</v>
      </c>
      <c r="Q392" t="str">
        <f t="shared" si="19"/>
        <v>2022-04</v>
      </c>
      <c r="R392" s="3">
        <f t="shared" si="20"/>
        <v>42.138931297709924</v>
      </c>
      <c r="S392" s="2" t="str">
        <f t="shared" si="18"/>
        <v>Success</v>
      </c>
    </row>
    <row r="393" spans="1:19" x14ac:dyDescent="0.3">
      <c r="A393" t="s">
        <v>458</v>
      </c>
      <c r="B393" s="1">
        <v>42181</v>
      </c>
      <c r="C393">
        <v>2015</v>
      </c>
      <c r="D393" s="2" t="s">
        <v>36</v>
      </c>
      <c r="E393" s="2" t="s">
        <v>77</v>
      </c>
      <c r="F393" s="2" t="s">
        <v>33</v>
      </c>
      <c r="G393" t="s">
        <v>64</v>
      </c>
      <c r="H393" s="3">
        <v>52.8</v>
      </c>
      <c r="I393" s="3">
        <v>73.92</v>
      </c>
      <c r="J393" s="3">
        <v>1400.08</v>
      </c>
      <c r="K393" s="1" t="s">
        <v>40</v>
      </c>
      <c r="L393" s="2" t="s">
        <v>22</v>
      </c>
      <c r="M393" s="3">
        <v>94.66</v>
      </c>
      <c r="N393" s="3">
        <v>231.27</v>
      </c>
      <c r="O393" s="2" t="s">
        <v>23</v>
      </c>
      <c r="P393" s="3">
        <v>27.28</v>
      </c>
      <c r="Q393" t="str">
        <f t="shared" si="19"/>
        <v>2015-06</v>
      </c>
      <c r="R393" s="3">
        <f t="shared" si="20"/>
        <v>26.516666666666666</v>
      </c>
      <c r="S393" s="2" t="str">
        <f t="shared" si="18"/>
        <v>Success</v>
      </c>
    </row>
    <row r="394" spans="1:19" x14ac:dyDescent="0.3">
      <c r="A394" t="s">
        <v>459</v>
      </c>
      <c r="B394" s="1">
        <v>42519</v>
      </c>
      <c r="C394">
        <v>2016</v>
      </c>
      <c r="D394" s="2" t="s">
        <v>59</v>
      </c>
      <c r="E394" s="2" t="s">
        <v>93</v>
      </c>
      <c r="F394" s="2" t="s">
        <v>19</v>
      </c>
      <c r="G394" t="s">
        <v>46</v>
      </c>
      <c r="H394" s="3">
        <v>53.06</v>
      </c>
      <c r="I394" s="3">
        <v>276.33</v>
      </c>
      <c r="J394" s="3">
        <v>5207.88</v>
      </c>
      <c r="K394" s="1" t="s">
        <v>34</v>
      </c>
      <c r="L394" s="2" t="s">
        <v>41</v>
      </c>
      <c r="M394" s="3">
        <v>62.27</v>
      </c>
      <c r="N394" s="3">
        <v>420.72</v>
      </c>
      <c r="O394" s="2" t="s">
        <v>23</v>
      </c>
      <c r="P394" s="3">
        <v>20.2</v>
      </c>
      <c r="Q394" t="str">
        <f t="shared" si="19"/>
        <v>2016-05</v>
      </c>
      <c r="R394" s="3">
        <f t="shared" si="20"/>
        <v>98.150772710139464</v>
      </c>
      <c r="S394" s="2" t="str">
        <f t="shared" si="18"/>
        <v>Success</v>
      </c>
    </row>
    <row r="395" spans="1:19" x14ac:dyDescent="0.3">
      <c r="A395" t="s">
        <v>460</v>
      </c>
      <c r="B395" s="1">
        <v>40916</v>
      </c>
      <c r="C395">
        <v>2011</v>
      </c>
      <c r="D395" s="2" t="s">
        <v>17</v>
      </c>
      <c r="E395" s="2" t="s">
        <v>72</v>
      </c>
      <c r="F395" s="2" t="s">
        <v>38</v>
      </c>
      <c r="G395" t="s">
        <v>39</v>
      </c>
      <c r="H395" s="3">
        <v>7.01</v>
      </c>
      <c r="I395" s="3">
        <v>30.48</v>
      </c>
      <c r="J395" s="3">
        <v>4348.12</v>
      </c>
      <c r="K395" s="1" t="s">
        <v>28</v>
      </c>
      <c r="L395" s="2" t="s">
        <v>47</v>
      </c>
      <c r="M395" s="3">
        <v>255.51</v>
      </c>
      <c r="N395" s="3">
        <v>994.25</v>
      </c>
      <c r="O395" s="2" t="s">
        <v>23</v>
      </c>
      <c r="P395" s="3">
        <v>32.35</v>
      </c>
      <c r="Q395" t="str">
        <f t="shared" si="19"/>
        <v>2012-01</v>
      </c>
      <c r="R395" s="3">
        <f t="shared" si="20"/>
        <v>620.2738944365193</v>
      </c>
      <c r="S395" s="2" t="str">
        <f t="shared" si="18"/>
        <v>Success</v>
      </c>
    </row>
    <row r="396" spans="1:19" x14ac:dyDescent="0.3">
      <c r="A396" t="s">
        <v>461</v>
      </c>
      <c r="B396" s="1">
        <v>40982</v>
      </c>
      <c r="C396">
        <v>2011</v>
      </c>
      <c r="D396" s="2" t="s">
        <v>25</v>
      </c>
      <c r="E396" s="2" t="s">
        <v>69</v>
      </c>
      <c r="F396" s="2" t="s">
        <v>38</v>
      </c>
      <c r="G396" t="s">
        <v>64</v>
      </c>
      <c r="H396" s="3">
        <v>94.52</v>
      </c>
      <c r="I396" s="3">
        <v>639.29</v>
      </c>
      <c r="J396" s="3">
        <v>6763.52</v>
      </c>
      <c r="K396" s="1" t="s">
        <v>21</v>
      </c>
      <c r="L396" s="2" t="s">
        <v>41</v>
      </c>
      <c r="M396" s="3">
        <v>75.31</v>
      </c>
      <c r="N396" s="3">
        <v>431.02</v>
      </c>
      <c r="O396" s="2" t="s">
        <v>52</v>
      </c>
      <c r="P396" s="3">
        <v>22.84</v>
      </c>
      <c r="Q396" t="str">
        <f t="shared" si="19"/>
        <v>2012-03</v>
      </c>
      <c r="R396" s="3">
        <f t="shared" si="20"/>
        <v>71.556495979686844</v>
      </c>
      <c r="S396" s="2" t="str">
        <f t="shared" si="18"/>
        <v>Success</v>
      </c>
    </row>
    <row r="397" spans="1:19" x14ac:dyDescent="0.3">
      <c r="A397" t="s">
        <v>462</v>
      </c>
      <c r="B397" s="1">
        <v>41010</v>
      </c>
      <c r="C397">
        <v>2012</v>
      </c>
      <c r="D397" s="2" t="s">
        <v>59</v>
      </c>
      <c r="E397" s="2" t="s">
        <v>93</v>
      </c>
      <c r="F397" s="2" t="s">
        <v>19</v>
      </c>
      <c r="G397" t="s">
        <v>39</v>
      </c>
      <c r="H397" s="3">
        <v>56.26</v>
      </c>
      <c r="I397" s="3">
        <v>308.12</v>
      </c>
      <c r="J397" s="3">
        <v>5476.65</v>
      </c>
      <c r="K397" s="1" t="s">
        <v>34</v>
      </c>
      <c r="L397" s="2" t="s">
        <v>41</v>
      </c>
      <c r="M397" s="3">
        <v>218.62</v>
      </c>
      <c r="N397" s="3">
        <v>902.55</v>
      </c>
      <c r="O397" s="2" t="s">
        <v>52</v>
      </c>
      <c r="P397" s="3">
        <v>33.24</v>
      </c>
      <c r="Q397" t="str">
        <f t="shared" si="19"/>
        <v>2012-04</v>
      </c>
      <c r="R397" s="3">
        <f t="shared" si="20"/>
        <v>97.345360824742258</v>
      </c>
      <c r="S397" s="2" t="str">
        <f t="shared" si="18"/>
        <v>Success</v>
      </c>
    </row>
    <row r="398" spans="1:19" x14ac:dyDescent="0.3">
      <c r="A398" t="s">
        <v>463</v>
      </c>
      <c r="B398" s="1">
        <v>43488</v>
      </c>
      <c r="C398">
        <v>2018</v>
      </c>
      <c r="D398" s="2" t="s">
        <v>59</v>
      </c>
      <c r="E398" s="2" t="s">
        <v>63</v>
      </c>
      <c r="F398" s="2" t="s">
        <v>38</v>
      </c>
      <c r="G398" t="s">
        <v>39</v>
      </c>
      <c r="H398" s="3">
        <v>16.66</v>
      </c>
      <c r="I398" s="3">
        <v>116.46</v>
      </c>
      <c r="J398" s="3">
        <v>6990.6</v>
      </c>
      <c r="K398" s="1" t="s">
        <v>28</v>
      </c>
      <c r="L398" s="2" t="s">
        <v>49</v>
      </c>
      <c r="M398" s="3">
        <v>283.38</v>
      </c>
      <c r="N398" s="3">
        <v>1102.48</v>
      </c>
      <c r="O398" s="2" t="s">
        <v>61</v>
      </c>
      <c r="P398" s="3">
        <v>34.869999999999997</v>
      </c>
      <c r="Q398" t="str">
        <f t="shared" si="19"/>
        <v>2019-01</v>
      </c>
      <c r="R398" s="3">
        <f t="shared" si="20"/>
        <v>419.60384153661465</v>
      </c>
      <c r="S398" s="2" t="str">
        <f t="shared" si="18"/>
        <v>Success</v>
      </c>
    </row>
    <row r="399" spans="1:19" x14ac:dyDescent="0.3">
      <c r="A399" t="s">
        <v>464</v>
      </c>
      <c r="B399" s="1">
        <v>42489</v>
      </c>
      <c r="C399">
        <v>2016</v>
      </c>
      <c r="D399" s="2" t="s">
        <v>36</v>
      </c>
      <c r="E399" s="2" t="s">
        <v>77</v>
      </c>
      <c r="F399" s="2" t="s">
        <v>19</v>
      </c>
      <c r="G399" t="s">
        <v>20</v>
      </c>
      <c r="H399" s="3">
        <v>61.23</v>
      </c>
      <c r="I399" s="3">
        <v>268.12</v>
      </c>
      <c r="J399" s="3">
        <v>4378.87</v>
      </c>
      <c r="K399" s="1" t="s">
        <v>40</v>
      </c>
      <c r="L399" s="2" t="s">
        <v>29</v>
      </c>
      <c r="M399" s="3">
        <v>143.77000000000001</v>
      </c>
      <c r="N399" s="3">
        <v>750.24</v>
      </c>
      <c r="O399" s="2" t="s">
        <v>70</v>
      </c>
      <c r="P399" s="3">
        <v>25.4</v>
      </c>
      <c r="Q399" t="str">
        <f t="shared" si="19"/>
        <v>2016-04</v>
      </c>
      <c r="R399" s="3">
        <f t="shared" si="20"/>
        <v>71.515106973705699</v>
      </c>
      <c r="S399" s="2" t="str">
        <f t="shared" si="18"/>
        <v>Success</v>
      </c>
    </row>
    <row r="400" spans="1:19" x14ac:dyDescent="0.3">
      <c r="A400" t="s">
        <v>465</v>
      </c>
      <c r="B400" s="1">
        <v>44353</v>
      </c>
      <c r="C400">
        <v>2021</v>
      </c>
      <c r="D400" s="2" t="s">
        <v>36</v>
      </c>
      <c r="E400" s="2" t="s">
        <v>37</v>
      </c>
      <c r="F400" s="2" t="s">
        <v>33</v>
      </c>
      <c r="G400" t="s">
        <v>20</v>
      </c>
      <c r="H400" s="3">
        <v>59.98</v>
      </c>
      <c r="I400" s="3">
        <v>246.26</v>
      </c>
      <c r="J400" s="3">
        <v>4105.66</v>
      </c>
      <c r="K400" s="1" t="s">
        <v>34</v>
      </c>
      <c r="L400" s="2" t="s">
        <v>49</v>
      </c>
      <c r="M400" s="3">
        <v>51.64</v>
      </c>
      <c r="N400" s="3">
        <v>1184.3900000000001</v>
      </c>
      <c r="O400" s="2" t="s">
        <v>42</v>
      </c>
      <c r="P400" s="3">
        <v>32.840000000000003</v>
      </c>
      <c r="Q400" t="str">
        <f t="shared" si="19"/>
        <v>2021-06</v>
      </c>
      <c r="R400" s="3">
        <f t="shared" si="20"/>
        <v>68.450483494498172</v>
      </c>
      <c r="S400" s="2" t="str">
        <f t="shared" si="18"/>
        <v>Success</v>
      </c>
    </row>
    <row r="401" spans="1:19" x14ac:dyDescent="0.3">
      <c r="A401" t="s">
        <v>466</v>
      </c>
      <c r="B401" s="1">
        <v>43207</v>
      </c>
      <c r="C401">
        <v>2018</v>
      </c>
      <c r="D401" s="2" t="s">
        <v>59</v>
      </c>
      <c r="E401" s="2" t="s">
        <v>93</v>
      </c>
      <c r="F401" s="2" t="s">
        <v>19</v>
      </c>
      <c r="G401" t="s">
        <v>27</v>
      </c>
      <c r="H401" s="3">
        <v>16.32</v>
      </c>
      <c r="I401" s="3">
        <v>20.02</v>
      </c>
      <c r="J401" s="3">
        <v>1226.42</v>
      </c>
      <c r="K401" s="1" t="s">
        <v>34</v>
      </c>
      <c r="L401" s="2" t="s">
        <v>49</v>
      </c>
      <c r="M401" s="3">
        <v>89.03</v>
      </c>
      <c r="N401" s="3">
        <v>464.99</v>
      </c>
      <c r="O401" s="2" t="s">
        <v>61</v>
      </c>
      <c r="P401" s="3">
        <v>23.75</v>
      </c>
      <c r="Q401" t="str">
        <f t="shared" si="19"/>
        <v>2018-04</v>
      </c>
      <c r="R401" s="3">
        <f t="shared" si="20"/>
        <v>75.148284313725497</v>
      </c>
      <c r="S401" s="2" t="str">
        <f t="shared" si="18"/>
        <v>Success</v>
      </c>
    </row>
    <row r="402" spans="1:19" x14ac:dyDescent="0.3">
      <c r="A402" t="s">
        <v>467</v>
      </c>
      <c r="B402" s="1">
        <v>42467</v>
      </c>
      <c r="C402">
        <v>2016</v>
      </c>
      <c r="D402" s="2" t="s">
        <v>25</v>
      </c>
      <c r="E402" s="2" t="s">
        <v>69</v>
      </c>
      <c r="F402" s="2" t="s">
        <v>19</v>
      </c>
      <c r="G402" t="s">
        <v>56</v>
      </c>
      <c r="H402" s="3">
        <v>73.69</v>
      </c>
      <c r="I402" s="3">
        <v>393.61</v>
      </c>
      <c r="J402" s="3">
        <v>5341.48</v>
      </c>
      <c r="K402" s="1" t="s">
        <v>28</v>
      </c>
      <c r="L402" s="2" t="s">
        <v>47</v>
      </c>
      <c r="M402" s="3">
        <v>93.23</v>
      </c>
      <c r="N402" s="3">
        <v>1025.71</v>
      </c>
      <c r="O402" s="2" t="s">
        <v>61</v>
      </c>
      <c r="P402" s="3">
        <v>32.29</v>
      </c>
      <c r="Q402" t="str">
        <f t="shared" si="19"/>
        <v>2016-04</v>
      </c>
      <c r="R402" s="3">
        <f t="shared" si="20"/>
        <v>72.485818971366527</v>
      </c>
      <c r="S402" s="2" t="str">
        <f t="shared" si="18"/>
        <v>Success</v>
      </c>
    </row>
    <row r="403" spans="1:19" x14ac:dyDescent="0.3">
      <c r="A403" t="s">
        <v>468</v>
      </c>
      <c r="B403" s="1">
        <v>40276</v>
      </c>
      <c r="C403">
        <v>2010</v>
      </c>
      <c r="D403" s="2" t="s">
        <v>17</v>
      </c>
      <c r="E403" s="2" t="s">
        <v>72</v>
      </c>
      <c r="F403" s="2" t="s">
        <v>19</v>
      </c>
      <c r="G403" t="s">
        <v>27</v>
      </c>
      <c r="H403" s="3">
        <v>38.770000000000003</v>
      </c>
      <c r="I403" s="3">
        <v>220.24</v>
      </c>
      <c r="J403" s="3">
        <v>5680.73</v>
      </c>
      <c r="K403" s="1" t="s">
        <v>34</v>
      </c>
      <c r="L403" s="2" t="s">
        <v>41</v>
      </c>
      <c r="M403" s="3">
        <v>136.97999999999999</v>
      </c>
      <c r="N403" s="3">
        <v>1017.14</v>
      </c>
      <c r="O403" s="2" t="s">
        <v>52</v>
      </c>
      <c r="P403" s="3">
        <v>33.950000000000003</v>
      </c>
      <c r="Q403" t="str">
        <f t="shared" si="19"/>
        <v>2010-04</v>
      </c>
      <c r="R403" s="3">
        <f t="shared" si="20"/>
        <v>146.52385865359813</v>
      </c>
      <c r="S403" s="2" t="str">
        <f t="shared" si="18"/>
        <v>Success</v>
      </c>
    </row>
    <row r="404" spans="1:19" x14ac:dyDescent="0.3">
      <c r="A404" t="s">
        <v>469</v>
      </c>
      <c r="B404" s="1">
        <v>43745</v>
      </c>
      <c r="C404">
        <v>2019</v>
      </c>
      <c r="D404" s="2" t="s">
        <v>17</v>
      </c>
      <c r="E404" s="2" t="s">
        <v>54</v>
      </c>
      <c r="F404" s="2" t="s">
        <v>33</v>
      </c>
      <c r="G404" t="s">
        <v>39</v>
      </c>
      <c r="H404" s="3">
        <v>77.959999999999994</v>
      </c>
      <c r="I404" s="3">
        <v>256.87</v>
      </c>
      <c r="J404" s="3">
        <v>3294.92</v>
      </c>
      <c r="K404" s="1" t="s">
        <v>34</v>
      </c>
      <c r="L404" s="2" t="s">
        <v>41</v>
      </c>
      <c r="M404" s="3">
        <v>181.1</v>
      </c>
      <c r="N404" s="3">
        <v>519.32000000000005</v>
      </c>
      <c r="O404" s="2" t="s">
        <v>61</v>
      </c>
      <c r="P404" s="3">
        <v>22.24</v>
      </c>
      <c r="Q404" t="str">
        <f t="shared" si="19"/>
        <v>2019-10</v>
      </c>
      <c r="R404" s="3">
        <f t="shared" si="20"/>
        <v>42.264238070805547</v>
      </c>
      <c r="S404" s="2" t="str">
        <f t="shared" si="18"/>
        <v>Success</v>
      </c>
    </row>
    <row r="405" spans="1:19" x14ac:dyDescent="0.3">
      <c r="A405" t="s">
        <v>470</v>
      </c>
      <c r="B405" s="1">
        <v>43943</v>
      </c>
      <c r="C405">
        <v>2020</v>
      </c>
      <c r="D405" s="2" t="s">
        <v>103</v>
      </c>
      <c r="E405" s="2" t="s">
        <v>104</v>
      </c>
      <c r="F405" s="2" t="s">
        <v>19</v>
      </c>
      <c r="G405" t="s">
        <v>46</v>
      </c>
      <c r="H405" s="3">
        <v>97.13</v>
      </c>
      <c r="I405" s="3">
        <v>535.87</v>
      </c>
      <c r="J405" s="3">
        <v>5517.04</v>
      </c>
      <c r="K405" s="1" t="s">
        <v>21</v>
      </c>
      <c r="L405" s="2" t="s">
        <v>22</v>
      </c>
      <c r="M405" s="3">
        <v>105.52</v>
      </c>
      <c r="N405" s="3">
        <v>489.78</v>
      </c>
      <c r="O405" s="2" t="s">
        <v>52</v>
      </c>
      <c r="P405" s="3">
        <v>22.22</v>
      </c>
      <c r="Q405" t="str">
        <f t="shared" si="19"/>
        <v>2020-04</v>
      </c>
      <c r="R405" s="3">
        <f t="shared" si="20"/>
        <v>56.800576546895918</v>
      </c>
      <c r="S405" s="2" t="str">
        <f t="shared" si="18"/>
        <v>Success</v>
      </c>
    </row>
    <row r="406" spans="1:19" x14ac:dyDescent="0.3">
      <c r="A406" t="s">
        <v>471</v>
      </c>
      <c r="B406" s="1">
        <v>44398</v>
      </c>
      <c r="C406">
        <v>2021</v>
      </c>
      <c r="D406" s="2" t="s">
        <v>36</v>
      </c>
      <c r="E406" s="2" t="s">
        <v>77</v>
      </c>
      <c r="F406" s="2" t="s">
        <v>33</v>
      </c>
      <c r="G406" t="s">
        <v>27</v>
      </c>
      <c r="H406" s="3">
        <v>40.520000000000003</v>
      </c>
      <c r="I406" s="3">
        <v>61.2</v>
      </c>
      <c r="J406" s="3">
        <v>1510.47</v>
      </c>
      <c r="K406" s="1" t="s">
        <v>28</v>
      </c>
      <c r="L406" s="2" t="s">
        <v>29</v>
      </c>
      <c r="M406" s="3">
        <v>243.46</v>
      </c>
      <c r="N406" s="3">
        <v>330.38</v>
      </c>
      <c r="O406" s="2" t="s">
        <v>42</v>
      </c>
      <c r="P406" s="3">
        <v>27.21</v>
      </c>
      <c r="Q406" t="str">
        <f t="shared" si="19"/>
        <v>2021-07</v>
      </c>
      <c r="R406" s="3">
        <f t="shared" si="20"/>
        <v>37.277147087857848</v>
      </c>
      <c r="S406" s="2" t="str">
        <f t="shared" si="18"/>
        <v>Success</v>
      </c>
    </row>
    <row r="407" spans="1:19" x14ac:dyDescent="0.3">
      <c r="A407" t="s">
        <v>472</v>
      </c>
      <c r="B407" s="1">
        <v>43764</v>
      </c>
      <c r="C407">
        <v>2019</v>
      </c>
      <c r="D407" s="2" t="s">
        <v>36</v>
      </c>
      <c r="E407" s="2" t="s">
        <v>77</v>
      </c>
      <c r="F407" s="2" t="s">
        <v>33</v>
      </c>
      <c r="G407" t="s">
        <v>27</v>
      </c>
      <c r="H407" s="3">
        <v>61.98</v>
      </c>
      <c r="I407" s="3">
        <v>335.56</v>
      </c>
      <c r="J407" s="3">
        <v>5414.01</v>
      </c>
      <c r="K407" s="1" t="s">
        <v>40</v>
      </c>
      <c r="L407" s="2" t="s">
        <v>22</v>
      </c>
      <c r="M407" s="3">
        <v>110.58</v>
      </c>
      <c r="N407" s="3">
        <v>466.26</v>
      </c>
      <c r="O407" s="2" t="s">
        <v>52</v>
      </c>
      <c r="P407" s="3">
        <v>24.85</v>
      </c>
      <c r="Q407" t="str">
        <f t="shared" si="19"/>
        <v>2019-10</v>
      </c>
      <c r="R407" s="3">
        <f t="shared" si="20"/>
        <v>87.35091965150049</v>
      </c>
      <c r="S407" s="2" t="str">
        <f t="shared" si="18"/>
        <v>Success</v>
      </c>
    </row>
    <row r="408" spans="1:19" x14ac:dyDescent="0.3">
      <c r="A408" t="s">
        <v>473</v>
      </c>
      <c r="B408" s="1">
        <v>42788</v>
      </c>
      <c r="C408">
        <v>2016</v>
      </c>
      <c r="D408" s="2" t="s">
        <v>25</v>
      </c>
      <c r="E408" s="2" t="s">
        <v>69</v>
      </c>
      <c r="F408" s="2" t="s">
        <v>38</v>
      </c>
      <c r="G408" t="s">
        <v>20</v>
      </c>
      <c r="H408" s="3">
        <v>35.479999999999997</v>
      </c>
      <c r="I408" s="3">
        <v>103.76</v>
      </c>
      <c r="J408" s="3">
        <v>2924.43</v>
      </c>
      <c r="K408" s="1" t="s">
        <v>21</v>
      </c>
      <c r="L408" s="2" t="s">
        <v>47</v>
      </c>
      <c r="M408" s="3">
        <v>242.42</v>
      </c>
      <c r="N408" s="3">
        <v>369.26</v>
      </c>
      <c r="O408" s="2" t="s">
        <v>70</v>
      </c>
      <c r="P408" s="3">
        <v>29.24</v>
      </c>
      <c r="Q408" t="str">
        <f t="shared" si="19"/>
        <v>2017-02</v>
      </c>
      <c r="R408" s="3">
        <f t="shared" si="20"/>
        <v>82.424746335963931</v>
      </c>
      <c r="S408" s="2" t="str">
        <f t="shared" si="18"/>
        <v>Success</v>
      </c>
    </row>
    <row r="409" spans="1:19" x14ac:dyDescent="0.3">
      <c r="A409" t="s">
        <v>474</v>
      </c>
      <c r="B409" s="1">
        <v>40403</v>
      </c>
      <c r="C409">
        <v>2010</v>
      </c>
      <c r="D409" s="2" t="s">
        <v>103</v>
      </c>
      <c r="E409" s="2" t="s">
        <v>107</v>
      </c>
      <c r="F409" s="2" t="s">
        <v>33</v>
      </c>
      <c r="G409" t="s">
        <v>56</v>
      </c>
      <c r="H409" s="3">
        <v>68.849999999999994</v>
      </c>
      <c r="I409" s="3">
        <v>133.29</v>
      </c>
      <c r="J409" s="3">
        <v>1935.95</v>
      </c>
      <c r="K409" s="1" t="s">
        <v>21</v>
      </c>
      <c r="L409" s="2" t="s">
        <v>22</v>
      </c>
      <c r="M409" s="3">
        <v>78.09</v>
      </c>
      <c r="N409" s="3">
        <v>254.54</v>
      </c>
      <c r="O409" s="2" t="s">
        <v>61</v>
      </c>
      <c r="P409" s="3">
        <v>33.9</v>
      </c>
      <c r="Q409" t="str">
        <f t="shared" si="19"/>
        <v>2010-08</v>
      </c>
      <c r="R409" s="3">
        <f t="shared" si="20"/>
        <v>28.118373275236024</v>
      </c>
      <c r="S409" s="2" t="str">
        <f t="shared" si="18"/>
        <v>Success</v>
      </c>
    </row>
    <row r="410" spans="1:19" x14ac:dyDescent="0.3">
      <c r="A410" t="s">
        <v>475</v>
      </c>
      <c r="B410" s="1">
        <v>44779</v>
      </c>
      <c r="C410">
        <v>2022</v>
      </c>
      <c r="D410" s="2" t="s">
        <v>31</v>
      </c>
      <c r="E410" s="2" t="s">
        <v>117</v>
      </c>
      <c r="F410" s="2" t="s">
        <v>33</v>
      </c>
      <c r="G410" t="s">
        <v>20</v>
      </c>
      <c r="H410" s="3">
        <v>45.56</v>
      </c>
      <c r="I410" s="3">
        <v>51.78</v>
      </c>
      <c r="J410" s="3">
        <v>1136.49</v>
      </c>
      <c r="K410" s="1" t="s">
        <v>40</v>
      </c>
      <c r="L410" s="2" t="s">
        <v>47</v>
      </c>
      <c r="M410" s="3">
        <v>235</v>
      </c>
      <c r="N410" s="3">
        <v>411.88</v>
      </c>
      <c r="O410" s="2" t="s">
        <v>61</v>
      </c>
      <c r="P410" s="3">
        <v>27.85</v>
      </c>
      <c r="Q410" t="str">
        <f t="shared" si="19"/>
        <v>2022-08</v>
      </c>
      <c r="R410" s="3">
        <f t="shared" si="20"/>
        <v>24.944907813871815</v>
      </c>
      <c r="S410" s="2" t="str">
        <f t="shared" si="18"/>
        <v>Success</v>
      </c>
    </row>
    <row r="411" spans="1:19" x14ac:dyDescent="0.3">
      <c r="A411" t="s">
        <v>476</v>
      </c>
      <c r="B411" s="1">
        <v>44417</v>
      </c>
      <c r="C411">
        <v>2021</v>
      </c>
      <c r="D411" s="2" t="s">
        <v>36</v>
      </c>
      <c r="E411" s="2" t="s">
        <v>77</v>
      </c>
      <c r="F411" s="2" t="s">
        <v>33</v>
      </c>
      <c r="G411" t="s">
        <v>39</v>
      </c>
      <c r="H411" s="3">
        <v>70.180000000000007</v>
      </c>
      <c r="I411" s="3">
        <v>77.92</v>
      </c>
      <c r="J411" s="3">
        <v>1110.33</v>
      </c>
      <c r="K411" s="1" t="s">
        <v>21</v>
      </c>
      <c r="L411" s="2" t="s">
        <v>22</v>
      </c>
      <c r="M411" s="3">
        <v>113.86</v>
      </c>
      <c r="N411" s="3">
        <v>260.11</v>
      </c>
      <c r="O411" s="2" t="s">
        <v>42</v>
      </c>
      <c r="P411" s="3">
        <v>31.84</v>
      </c>
      <c r="Q411" t="str">
        <f t="shared" si="19"/>
        <v>2021-08</v>
      </c>
      <c r="R411" s="3">
        <f t="shared" si="20"/>
        <v>15.821174123681958</v>
      </c>
      <c r="S411" s="2" t="str">
        <f t="shared" si="18"/>
        <v>Success</v>
      </c>
    </row>
    <row r="412" spans="1:19" x14ac:dyDescent="0.3">
      <c r="A412" t="s">
        <v>477</v>
      </c>
      <c r="B412" s="1">
        <v>40427</v>
      </c>
      <c r="C412">
        <v>2010</v>
      </c>
      <c r="D412" s="2" t="s">
        <v>36</v>
      </c>
      <c r="E412" s="2" t="s">
        <v>77</v>
      </c>
      <c r="F412" s="2" t="s">
        <v>33</v>
      </c>
      <c r="G412" t="s">
        <v>46</v>
      </c>
      <c r="H412" s="3">
        <v>66.38</v>
      </c>
      <c r="I412" s="3">
        <v>330.43</v>
      </c>
      <c r="J412" s="3">
        <v>4977.8900000000003</v>
      </c>
      <c r="K412" s="1" t="s">
        <v>34</v>
      </c>
      <c r="L412" s="2" t="s">
        <v>47</v>
      </c>
      <c r="M412" s="3">
        <v>266.07</v>
      </c>
      <c r="N412" s="3">
        <v>219.08</v>
      </c>
      <c r="O412" s="2" t="s">
        <v>52</v>
      </c>
      <c r="P412" s="3">
        <v>23.47</v>
      </c>
      <c r="Q412" t="str">
        <f t="shared" si="19"/>
        <v>2010-09</v>
      </c>
      <c r="R412" s="3">
        <f t="shared" si="20"/>
        <v>74.990810485085873</v>
      </c>
      <c r="S412" s="2" t="str">
        <f t="shared" si="18"/>
        <v>Success</v>
      </c>
    </row>
    <row r="413" spans="1:19" x14ac:dyDescent="0.3">
      <c r="A413" t="s">
        <v>478</v>
      </c>
      <c r="B413" s="1">
        <v>42444</v>
      </c>
      <c r="C413">
        <v>2015</v>
      </c>
      <c r="D413" s="2" t="s">
        <v>17</v>
      </c>
      <c r="E413" s="2" t="s">
        <v>18</v>
      </c>
      <c r="F413" s="2" t="s">
        <v>38</v>
      </c>
      <c r="G413" t="s">
        <v>27</v>
      </c>
      <c r="H413" s="3">
        <v>53.62</v>
      </c>
      <c r="I413" s="3">
        <v>113.59</v>
      </c>
      <c r="J413" s="3">
        <v>2118.5</v>
      </c>
      <c r="K413" s="1" t="s">
        <v>28</v>
      </c>
      <c r="L413" s="2" t="s">
        <v>49</v>
      </c>
      <c r="M413" s="3">
        <v>190.17</v>
      </c>
      <c r="N413" s="3">
        <v>912.47</v>
      </c>
      <c r="O413" s="2" t="s">
        <v>23</v>
      </c>
      <c r="P413" s="3">
        <v>23.71</v>
      </c>
      <c r="Q413" t="str">
        <f t="shared" si="19"/>
        <v>2016-03</v>
      </c>
      <c r="R413" s="3">
        <f t="shared" si="20"/>
        <v>39.509511376352108</v>
      </c>
      <c r="S413" s="2" t="str">
        <f t="shared" si="18"/>
        <v>Success</v>
      </c>
    </row>
    <row r="414" spans="1:19" x14ac:dyDescent="0.3">
      <c r="A414" t="s">
        <v>479</v>
      </c>
      <c r="B414" s="1">
        <v>42464</v>
      </c>
      <c r="C414">
        <v>2016</v>
      </c>
      <c r="D414" s="2" t="s">
        <v>31</v>
      </c>
      <c r="E414" s="2" t="s">
        <v>32</v>
      </c>
      <c r="F414" s="2" t="s">
        <v>19</v>
      </c>
      <c r="G414" t="s">
        <v>56</v>
      </c>
      <c r="H414" s="3">
        <v>2.82</v>
      </c>
      <c r="I414" s="3">
        <v>14.4</v>
      </c>
      <c r="J414" s="3">
        <v>5105.87</v>
      </c>
      <c r="K414" s="1" t="s">
        <v>34</v>
      </c>
      <c r="L414" s="2" t="s">
        <v>49</v>
      </c>
      <c r="M414" s="3">
        <v>206.31</v>
      </c>
      <c r="N414" s="3">
        <v>436.2</v>
      </c>
      <c r="O414" s="2" t="s">
        <v>61</v>
      </c>
      <c r="P414" s="3">
        <v>24.14</v>
      </c>
      <c r="Q414" t="str">
        <f t="shared" si="19"/>
        <v>2016-04</v>
      </c>
      <c r="R414" s="3">
        <f t="shared" si="20"/>
        <v>1810.5921985815603</v>
      </c>
      <c r="S414" s="2" t="str">
        <f t="shared" si="18"/>
        <v>Success</v>
      </c>
    </row>
    <row r="415" spans="1:19" x14ac:dyDescent="0.3">
      <c r="A415" t="s">
        <v>480</v>
      </c>
      <c r="B415" s="1">
        <v>43463</v>
      </c>
      <c r="C415">
        <v>2018</v>
      </c>
      <c r="D415" s="2" t="s">
        <v>36</v>
      </c>
      <c r="E415" s="2" t="s">
        <v>37</v>
      </c>
      <c r="F415" s="2" t="s">
        <v>38</v>
      </c>
      <c r="G415" t="s">
        <v>56</v>
      </c>
      <c r="H415" s="3">
        <v>16.02</v>
      </c>
      <c r="I415" s="3">
        <v>102.26</v>
      </c>
      <c r="J415" s="3">
        <v>6383.05</v>
      </c>
      <c r="K415" s="1" t="s">
        <v>40</v>
      </c>
      <c r="L415" s="2" t="s">
        <v>29</v>
      </c>
      <c r="M415" s="3">
        <v>71.95</v>
      </c>
      <c r="N415" s="3">
        <v>582.21</v>
      </c>
      <c r="O415" s="2" t="s">
        <v>61</v>
      </c>
      <c r="P415" s="3">
        <v>33.090000000000003</v>
      </c>
      <c r="Q415" t="str">
        <f t="shared" si="19"/>
        <v>2018-12</v>
      </c>
      <c r="R415" s="3">
        <f t="shared" si="20"/>
        <v>398.44257178526846</v>
      </c>
      <c r="S415" s="2" t="str">
        <f t="shared" si="18"/>
        <v>Success</v>
      </c>
    </row>
    <row r="416" spans="1:19" x14ac:dyDescent="0.3">
      <c r="A416" t="s">
        <v>481</v>
      </c>
      <c r="B416" s="1">
        <v>41265</v>
      </c>
      <c r="C416">
        <v>2012</v>
      </c>
      <c r="D416" s="2" t="s">
        <v>103</v>
      </c>
      <c r="E416" s="2" t="s">
        <v>228</v>
      </c>
      <c r="F416" s="2" t="s">
        <v>38</v>
      </c>
      <c r="G416" t="s">
        <v>20</v>
      </c>
      <c r="H416" s="3">
        <v>91.06</v>
      </c>
      <c r="I416" s="3">
        <v>270.97000000000003</v>
      </c>
      <c r="J416" s="3">
        <v>2975.71</v>
      </c>
      <c r="K416" s="1" t="s">
        <v>40</v>
      </c>
      <c r="L416" s="2" t="s">
        <v>41</v>
      </c>
      <c r="M416" s="3">
        <v>101.69</v>
      </c>
      <c r="N416" s="3">
        <v>338.58</v>
      </c>
      <c r="O416" s="2" t="s">
        <v>61</v>
      </c>
      <c r="P416" s="3">
        <v>30.26</v>
      </c>
      <c r="Q416" t="str">
        <f t="shared" si="19"/>
        <v>2012-12</v>
      </c>
      <c r="R416" s="3">
        <f t="shared" si="20"/>
        <v>32.678563584449812</v>
      </c>
      <c r="S416" s="2" t="str">
        <f t="shared" si="18"/>
        <v>Success</v>
      </c>
    </row>
    <row r="417" spans="1:19" x14ac:dyDescent="0.3">
      <c r="A417" t="s">
        <v>482</v>
      </c>
      <c r="B417" s="1">
        <v>44322</v>
      </c>
      <c r="C417">
        <v>2021</v>
      </c>
      <c r="D417" s="2" t="s">
        <v>31</v>
      </c>
      <c r="E417" s="2" t="s">
        <v>117</v>
      </c>
      <c r="F417" s="2" t="s">
        <v>19</v>
      </c>
      <c r="G417" t="s">
        <v>56</v>
      </c>
      <c r="H417" s="3">
        <v>43.58</v>
      </c>
      <c r="I417" s="3">
        <v>281.27</v>
      </c>
      <c r="J417" s="3">
        <v>6454.01</v>
      </c>
      <c r="K417" s="1" t="s">
        <v>40</v>
      </c>
      <c r="L417" s="2" t="s">
        <v>47</v>
      </c>
      <c r="M417" s="3">
        <v>214.06</v>
      </c>
      <c r="N417" s="3">
        <v>764.84</v>
      </c>
      <c r="O417" s="2" t="s">
        <v>42</v>
      </c>
      <c r="P417" s="3">
        <v>24.76</v>
      </c>
      <c r="Q417" t="str">
        <f t="shared" si="19"/>
        <v>2021-05</v>
      </c>
      <c r="R417" s="3">
        <f t="shared" si="20"/>
        <v>148.09568609453879</v>
      </c>
      <c r="S417" s="2" t="str">
        <f t="shared" si="18"/>
        <v>Success</v>
      </c>
    </row>
    <row r="418" spans="1:19" x14ac:dyDescent="0.3">
      <c r="A418" t="s">
        <v>483</v>
      </c>
      <c r="B418" s="1">
        <v>41262</v>
      </c>
      <c r="C418">
        <v>2012</v>
      </c>
      <c r="D418" s="2" t="s">
        <v>17</v>
      </c>
      <c r="E418" s="2" t="s">
        <v>18</v>
      </c>
      <c r="F418" s="2" t="s">
        <v>38</v>
      </c>
      <c r="G418" t="s">
        <v>56</v>
      </c>
      <c r="H418" s="3">
        <v>72.98</v>
      </c>
      <c r="I418" s="3">
        <v>408.15</v>
      </c>
      <c r="J418" s="3">
        <v>5592.61</v>
      </c>
      <c r="K418" s="1" t="s">
        <v>28</v>
      </c>
      <c r="L418" s="2" t="s">
        <v>22</v>
      </c>
      <c r="M418" s="3">
        <v>290.3</v>
      </c>
      <c r="N418" s="3">
        <v>503.35</v>
      </c>
      <c r="O418" s="2" t="s">
        <v>70</v>
      </c>
      <c r="P418" s="3">
        <v>22.28</v>
      </c>
      <c r="Q418" t="str">
        <f t="shared" si="19"/>
        <v>2012-12</v>
      </c>
      <c r="R418" s="3">
        <f t="shared" si="20"/>
        <v>76.632090983831176</v>
      </c>
      <c r="S418" s="2" t="str">
        <f t="shared" si="18"/>
        <v>Success</v>
      </c>
    </row>
    <row r="419" spans="1:19" x14ac:dyDescent="0.3">
      <c r="A419" t="s">
        <v>484</v>
      </c>
      <c r="B419" s="1">
        <v>40313</v>
      </c>
      <c r="C419">
        <v>2010</v>
      </c>
      <c r="D419" s="2" t="s">
        <v>103</v>
      </c>
      <c r="E419" s="2" t="s">
        <v>104</v>
      </c>
      <c r="F419" s="2" t="s">
        <v>19</v>
      </c>
      <c r="G419" t="s">
        <v>27</v>
      </c>
      <c r="H419" s="3">
        <v>27.42</v>
      </c>
      <c r="I419" s="3">
        <v>120.71</v>
      </c>
      <c r="J419" s="3">
        <v>4402.26</v>
      </c>
      <c r="K419" s="1" t="s">
        <v>40</v>
      </c>
      <c r="L419" s="2" t="s">
        <v>29</v>
      </c>
      <c r="M419" s="3">
        <v>199.09</v>
      </c>
      <c r="N419" s="3">
        <v>430.91</v>
      </c>
      <c r="O419" s="2" t="s">
        <v>23</v>
      </c>
      <c r="P419" s="3">
        <v>25.39</v>
      </c>
      <c r="Q419" t="str">
        <f t="shared" si="19"/>
        <v>2010-05</v>
      </c>
      <c r="R419" s="3">
        <f t="shared" si="20"/>
        <v>160.5492341356674</v>
      </c>
      <c r="S419" s="2" t="str">
        <f t="shared" si="18"/>
        <v>Success</v>
      </c>
    </row>
    <row r="420" spans="1:19" x14ac:dyDescent="0.3">
      <c r="A420" t="s">
        <v>485</v>
      </c>
      <c r="B420" s="1">
        <v>43874</v>
      </c>
      <c r="C420">
        <v>2019</v>
      </c>
      <c r="D420" s="2" t="s">
        <v>103</v>
      </c>
      <c r="E420" s="2" t="s">
        <v>228</v>
      </c>
      <c r="F420" s="2" t="s">
        <v>38</v>
      </c>
      <c r="G420" t="s">
        <v>39</v>
      </c>
      <c r="H420" s="3">
        <v>65.31</v>
      </c>
      <c r="I420" s="3">
        <v>137.4</v>
      </c>
      <c r="J420" s="3">
        <v>2103.86</v>
      </c>
      <c r="K420" s="1" t="s">
        <v>28</v>
      </c>
      <c r="L420" s="2" t="s">
        <v>22</v>
      </c>
      <c r="M420" s="3">
        <v>172.86</v>
      </c>
      <c r="N420" s="3">
        <v>337.51</v>
      </c>
      <c r="O420" s="2" t="s">
        <v>42</v>
      </c>
      <c r="P420" s="3">
        <v>23.39</v>
      </c>
      <c r="Q420" t="str">
        <f t="shared" si="19"/>
        <v>2020-02</v>
      </c>
      <c r="R420" s="3">
        <f t="shared" si="20"/>
        <v>32.213443576787633</v>
      </c>
      <c r="S420" s="2" t="str">
        <f t="shared" si="18"/>
        <v>Success</v>
      </c>
    </row>
    <row r="421" spans="1:19" x14ac:dyDescent="0.3">
      <c r="A421" t="s">
        <v>486</v>
      </c>
      <c r="B421" s="1">
        <v>41396</v>
      </c>
      <c r="C421">
        <v>2013</v>
      </c>
      <c r="D421" s="2" t="s">
        <v>31</v>
      </c>
      <c r="E421" s="2" t="s">
        <v>32</v>
      </c>
      <c r="F421" s="2" t="s">
        <v>19</v>
      </c>
      <c r="G421" t="s">
        <v>39</v>
      </c>
      <c r="H421" s="3">
        <v>98.84</v>
      </c>
      <c r="I421" s="3">
        <v>548.23</v>
      </c>
      <c r="J421" s="3">
        <v>5546.66</v>
      </c>
      <c r="K421" s="1" t="s">
        <v>21</v>
      </c>
      <c r="L421" s="2" t="s">
        <v>49</v>
      </c>
      <c r="M421" s="3">
        <v>94.27</v>
      </c>
      <c r="N421" s="3">
        <v>1154.7</v>
      </c>
      <c r="O421" s="2" t="s">
        <v>52</v>
      </c>
      <c r="P421" s="3">
        <v>33.01</v>
      </c>
      <c r="Q421" t="str">
        <f t="shared" si="19"/>
        <v>2013-05</v>
      </c>
      <c r="R421" s="3">
        <f t="shared" si="20"/>
        <v>56.11756373937677</v>
      </c>
      <c r="S421" s="2" t="str">
        <f t="shared" si="18"/>
        <v>Success</v>
      </c>
    </row>
    <row r="422" spans="1:19" x14ac:dyDescent="0.3">
      <c r="A422" t="s">
        <v>487</v>
      </c>
      <c r="B422" s="1">
        <v>41713</v>
      </c>
      <c r="C422">
        <v>2013</v>
      </c>
      <c r="D422" s="2" t="s">
        <v>44</v>
      </c>
      <c r="E422" s="2" t="s">
        <v>99</v>
      </c>
      <c r="F422" s="2" t="s">
        <v>38</v>
      </c>
      <c r="G422" t="s">
        <v>46</v>
      </c>
      <c r="H422" s="3">
        <v>77.849999999999994</v>
      </c>
      <c r="I422" s="3">
        <v>361.81</v>
      </c>
      <c r="J422" s="3">
        <v>4647.58</v>
      </c>
      <c r="K422" s="1" t="s">
        <v>28</v>
      </c>
      <c r="L422" s="2" t="s">
        <v>22</v>
      </c>
      <c r="M422" s="3">
        <v>230.05</v>
      </c>
      <c r="N422" s="3">
        <v>594.15</v>
      </c>
      <c r="O422" s="2" t="s">
        <v>61</v>
      </c>
      <c r="P422" s="3">
        <v>28.91</v>
      </c>
      <c r="Q422" t="str">
        <f t="shared" si="19"/>
        <v>2014-03</v>
      </c>
      <c r="R422" s="3">
        <f t="shared" si="20"/>
        <v>59.699165061014774</v>
      </c>
      <c r="S422" s="2" t="str">
        <f t="shared" si="18"/>
        <v>Success</v>
      </c>
    </row>
    <row r="423" spans="1:19" x14ac:dyDescent="0.3">
      <c r="A423" t="s">
        <v>488</v>
      </c>
      <c r="B423" s="1">
        <v>43052</v>
      </c>
      <c r="C423">
        <v>2017</v>
      </c>
      <c r="D423" s="2" t="s">
        <v>59</v>
      </c>
      <c r="E423" s="2" t="s">
        <v>60</v>
      </c>
      <c r="F423" s="2" t="s">
        <v>38</v>
      </c>
      <c r="G423" t="s">
        <v>64</v>
      </c>
      <c r="H423" s="3">
        <v>87.9</v>
      </c>
      <c r="I423" s="3">
        <v>217.49</v>
      </c>
      <c r="J423" s="3">
        <v>2474.33</v>
      </c>
      <c r="K423" s="1" t="s">
        <v>28</v>
      </c>
      <c r="L423" s="2" t="s">
        <v>41</v>
      </c>
      <c r="M423" s="3">
        <v>295.95999999999998</v>
      </c>
      <c r="N423" s="3">
        <v>239.25</v>
      </c>
      <c r="O423" s="2" t="s">
        <v>52</v>
      </c>
      <c r="P423" s="3">
        <v>27.74</v>
      </c>
      <c r="Q423" t="str">
        <f t="shared" si="19"/>
        <v>2017-11</v>
      </c>
      <c r="R423" s="3">
        <f t="shared" si="20"/>
        <v>28.149374288964729</v>
      </c>
      <c r="S423" s="2" t="str">
        <f t="shared" si="18"/>
        <v>Success</v>
      </c>
    </row>
    <row r="424" spans="1:19" x14ac:dyDescent="0.3">
      <c r="A424" t="s">
        <v>489</v>
      </c>
      <c r="B424" s="1">
        <v>42790</v>
      </c>
      <c r="C424">
        <v>2016</v>
      </c>
      <c r="D424" s="2" t="s">
        <v>31</v>
      </c>
      <c r="E424" s="2" t="s">
        <v>32</v>
      </c>
      <c r="F424" s="2" t="s">
        <v>38</v>
      </c>
      <c r="G424" t="s">
        <v>20</v>
      </c>
      <c r="H424" s="3">
        <v>46.67</v>
      </c>
      <c r="I424" s="3">
        <v>164.97</v>
      </c>
      <c r="J424" s="3">
        <v>3534.77</v>
      </c>
      <c r="K424" s="1" t="s">
        <v>21</v>
      </c>
      <c r="L424" s="2" t="s">
        <v>22</v>
      </c>
      <c r="M424" s="3">
        <v>222.49</v>
      </c>
      <c r="N424" s="3">
        <v>1103.68</v>
      </c>
      <c r="O424" s="2" t="s">
        <v>52</v>
      </c>
      <c r="P424" s="3">
        <v>32.450000000000003</v>
      </c>
      <c r="Q424" t="str">
        <f t="shared" si="19"/>
        <v>2017-02</v>
      </c>
      <c r="R424" s="3">
        <f t="shared" si="20"/>
        <v>75.739661452753367</v>
      </c>
      <c r="S424" s="2" t="str">
        <f t="shared" si="18"/>
        <v>Success</v>
      </c>
    </row>
    <row r="425" spans="1:19" x14ac:dyDescent="0.3">
      <c r="A425" t="s">
        <v>490</v>
      </c>
      <c r="B425" s="1">
        <v>40846</v>
      </c>
      <c r="C425">
        <v>2011</v>
      </c>
      <c r="D425" s="2" t="s">
        <v>17</v>
      </c>
      <c r="E425" s="2" t="s">
        <v>54</v>
      </c>
      <c r="F425" s="2" t="s">
        <v>33</v>
      </c>
      <c r="G425" t="s">
        <v>27</v>
      </c>
      <c r="H425" s="3">
        <v>93.85</v>
      </c>
      <c r="I425" s="3">
        <v>485.83</v>
      </c>
      <c r="J425" s="3">
        <v>5176.68</v>
      </c>
      <c r="K425" s="1" t="s">
        <v>40</v>
      </c>
      <c r="L425" s="2" t="s">
        <v>41</v>
      </c>
      <c r="M425" s="3">
        <v>148.27000000000001</v>
      </c>
      <c r="N425" s="3">
        <v>523.46</v>
      </c>
      <c r="O425" s="2" t="s">
        <v>23</v>
      </c>
      <c r="P425" s="3">
        <v>22.68</v>
      </c>
      <c r="Q425" t="str">
        <f t="shared" si="19"/>
        <v>2011-10</v>
      </c>
      <c r="R425" s="3">
        <f t="shared" si="20"/>
        <v>55.159083644112954</v>
      </c>
      <c r="S425" s="2" t="str">
        <f t="shared" si="18"/>
        <v>Success</v>
      </c>
    </row>
    <row r="426" spans="1:19" x14ac:dyDescent="0.3">
      <c r="A426" t="s">
        <v>491</v>
      </c>
      <c r="B426" s="1">
        <v>42036</v>
      </c>
      <c r="C426">
        <v>2014</v>
      </c>
      <c r="D426" s="2" t="s">
        <v>36</v>
      </c>
      <c r="E426" s="2" t="s">
        <v>37</v>
      </c>
      <c r="F426" s="2" t="s">
        <v>38</v>
      </c>
      <c r="G426" t="s">
        <v>39</v>
      </c>
      <c r="H426" s="3">
        <v>65.209999999999994</v>
      </c>
      <c r="I426" s="3">
        <v>343.58</v>
      </c>
      <c r="J426" s="3">
        <v>5268.82</v>
      </c>
      <c r="K426" s="1" t="s">
        <v>40</v>
      </c>
      <c r="L426" s="2" t="s">
        <v>22</v>
      </c>
      <c r="M426" s="3">
        <v>229.59</v>
      </c>
      <c r="N426" s="3">
        <v>323.54000000000002</v>
      </c>
      <c r="O426" s="2" t="s">
        <v>23</v>
      </c>
      <c r="P426" s="3">
        <v>30.59</v>
      </c>
      <c r="Q426" t="str">
        <f t="shared" si="19"/>
        <v>2015-02</v>
      </c>
      <c r="R426" s="3">
        <f t="shared" si="20"/>
        <v>80.797730409446402</v>
      </c>
      <c r="S426" s="2" t="str">
        <f t="shared" si="18"/>
        <v>Success</v>
      </c>
    </row>
    <row r="427" spans="1:19" x14ac:dyDescent="0.3">
      <c r="A427" t="s">
        <v>492</v>
      </c>
      <c r="B427" s="1">
        <v>42503</v>
      </c>
      <c r="C427">
        <v>2016</v>
      </c>
      <c r="D427" s="2" t="s">
        <v>59</v>
      </c>
      <c r="E427" s="2" t="s">
        <v>93</v>
      </c>
      <c r="F427" s="2" t="s">
        <v>19</v>
      </c>
      <c r="G427" t="s">
        <v>27</v>
      </c>
      <c r="H427" s="3">
        <v>61.6</v>
      </c>
      <c r="I427" s="3">
        <v>120.7</v>
      </c>
      <c r="J427" s="3">
        <v>1959.4</v>
      </c>
      <c r="K427" s="1" t="s">
        <v>28</v>
      </c>
      <c r="L427" s="2" t="s">
        <v>41</v>
      </c>
      <c r="M427" s="3">
        <v>60.98</v>
      </c>
      <c r="N427" s="3">
        <v>370.88</v>
      </c>
      <c r="O427" s="2" t="s">
        <v>70</v>
      </c>
      <c r="P427" s="3">
        <v>28.48</v>
      </c>
      <c r="Q427" t="str">
        <f t="shared" si="19"/>
        <v>2016-05</v>
      </c>
      <c r="R427" s="3">
        <f t="shared" si="20"/>
        <v>31.808441558441558</v>
      </c>
      <c r="S427" s="2" t="str">
        <f t="shared" si="18"/>
        <v>Success</v>
      </c>
    </row>
    <row r="428" spans="1:19" x14ac:dyDescent="0.3">
      <c r="A428" t="s">
        <v>493</v>
      </c>
      <c r="B428" s="1">
        <v>41000</v>
      </c>
      <c r="C428">
        <v>2012</v>
      </c>
      <c r="D428" s="2" t="s">
        <v>103</v>
      </c>
      <c r="E428" s="2" t="s">
        <v>104</v>
      </c>
      <c r="F428" s="2" t="s">
        <v>19</v>
      </c>
      <c r="G428" t="s">
        <v>64</v>
      </c>
      <c r="H428" s="3">
        <v>42.54</v>
      </c>
      <c r="I428" s="3">
        <v>121.54</v>
      </c>
      <c r="J428" s="3">
        <v>2857.11</v>
      </c>
      <c r="K428" s="1" t="s">
        <v>28</v>
      </c>
      <c r="L428" s="2" t="s">
        <v>47</v>
      </c>
      <c r="M428" s="3">
        <v>122.2</v>
      </c>
      <c r="N428" s="3">
        <v>380.7</v>
      </c>
      <c r="O428" s="2" t="s">
        <v>42</v>
      </c>
      <c r="P428" s="3">
        <v>34.409999999999997</v>
      </c>
      <c r="Q428" t="str">
        <f t="shared" si="19"/>
        <v>2012-04</v>
      </c>
      <c r="R428" s="3">
        <f t="shared" si="20"/>
        <v>67.162905500705222</v>
      </c>
      <c r="S428" s="2" t="str">
        <f t="shared" si="18"/>
        <v>Success</v>
      </c>
    </row>
    <row r="429" spans="1:19" x14ac:dyDescent="0.3">
      <c r="A429" t="s">
        <v>494</v>
      </c>
      <c r="B429" s="1">
        <v>40604</v>
      </c>
      <c r="C429">
        <v>2010</v>
      </c>
      <c r="D429" s="2" t="s">
        <v>44</v>
      </c>
      <c r="E429" s="2" t="s">
        <v>99</v>
      </c>
      <c r="F429" s="2" t="s">
        <v>38</v>
      </c>
      <c r="G429" t="s">
        <v>46</v>
      </c>
      <c r="H429" s="3">
        <v>85.69</v>
      </c>
      <c r="I429" s="3">
        <v>365.13</v>
      </c>
      <c r="J429" s="3">
        <v>4261.01</v>
      </c>
      <c r="K429" s="1" t="s">
        <v>21</v>
      </c>
      <c r="L429" s="2" t="s">
        <v>29</v>
      </c>
      <c r="M429" s="3">
        <v>202</v>
      </c>
      <c r="N429" s="3">
        <v>693.47</v>
      </c>
      <c r="O429" s="2" t="s">
        <v>42</v>
      </c>
      <c r="P429" s="3">
        <v>28.83</v>
      </c>
      <c r="Q429" t="str">
        <f t="shared" si="19"/>
        <v>2011-03</v>
      </c>
      <c r="R429" s="3">
        <f t="shared" si="20"/>
        <v>49.725872330493644</v>
      </c>
      <c r="S429" s="2" t="str">
        <f t="shared" si="18"/>
        <v>Success</v>
      </c>
    </row>
    <row r="430" spans="1:19" x14ac:dyDescent="0.3">
      <c r="A430" t="s">
        <v>495</v>
      </c>
      <c r="B430" s="1">
        <v>40643</v>
      </c>
      <c r="C430">
        <v>2011</v>
      </c>
      <c r="D430" s="2" t="s">
        <v>36</v>
      </c>
      <c r="E430" s="2" t="s">
        <v>51</v>
      </c>
      <c r="F430" s="2" t="s">
        <v>19</v>
      </c>
      <c r="G430" t="s">
        <v>27</v>
      </c>
      <c r="H430" s="3">
        <v>1.65</v>
      </c>
      <c r="I430" s="3">
        <v>10.38</v>
      </c>
      <c r="J430" s="3">
        <v>6293.01</v>
      </c>
      <c r="K430" s="1" t="s">
        <v>34</v>
      </c>
      <c r="L430" s="2" t="s">
        <v>22</v>
      </c>
      <c r="M430" s="3">
        <v>204.94</v>
      </c>
      <c r="N430" s="3">
        <v>757.55</v>
      </c>
      <c r="O430" s="2" t="s">
        <v>42</v>
      </c>
      <c r="P430" s="3">
        <v>20.73</v>
      </c>
      <c r="Q430" t="str">
        <f t="shared" si="19"/>
        <v>2011-04</v>
      </c>
      <c r="R430" s="3">
        <f t="shared" si="20"/>
        <v>3813.945454545455</v>
      </c>
      <c r="S430" s="2" t="str">
        <f t="shared" si="18"/>
        <v>Success</v>
      </c>
    </row>
    <row r="431" spans="1:19" x14ac:dyDescent="0.3">
      <c r="A431" t="s">
        <v>496</v>
      </c>
      <c r="B431" s="1">
        <v>40375</v>
      </c>
      <c r="C431">
        <v>2010</v>
      </c>
      <c r="D431" s="2" t="s">
        <v>17</v>
      </c>
      <c r="E431" s="2" t="s">
        <v>72</v>
      </c>
      <c r="F431" s="2" t="s">
        <v>33</v>
      </c>
      <c r="G431" t="s">
        <v>64</v>
      </c>
      <c r="H431" s="3">
        <v>67.03</v>
      </c>
      <c r="I431" s="3">
        <v>404.06</v>
      </c>
      <c r="J431" s="3">
        <v>6028.09</v>
      </c>
      <c r="K431" s="1" t="s">
        <v>34</v>
      </c>
      <c r="L431" s="2" t="s">
        <v>41</v>
      </c>
      <c r="M431" s="3">
        <v>132.78</v>
      </c>
      <c r="N431" s="3">
        <v>287.7</v>
      </c>
      <c r="O431" s="2" t="s">
        <v>23</v>
      </c>
      <c r="P431" s="3">
        <v>26.25</v>
      </c>
      <c r="Q431" t="str">
        <f t="shared" si="19"/>
        <v>2010-07</v>
      </c>
      <c r="R431" s="3">
        <f t="shared" si="20"/>
        <v>89.931224824705353</v>
      </c>
      <c r="S431" s="2" t="str">
        <f t="shared" si="18"/>
        <v>Success</v>
      </c>
    </row>
    <row r="432" spans="1:19" x14ac:dyDescent="0.3">
      <c r="A432" t="s">
        <v>497</v>
      </c>
      <c r="B432" s="1">
        <v>43561</v>
      </c>
      <c r="C432">
        <v>2019</v>
      </c>
      <c r="D432" s="2" t="s">
        <v>17</v>
      </c>
      <c r="E432" s="2" t="s">
        <v>72</v>
      </c>
      <c r="F432" s="2" t="s">
        <v>19</v>
      </c>
      <c r="G432" t="s">
        <v>39</v>
      </c>
      <c r="H432" s="3">
        <v>70.28</v>
      </c>
      <c r="I432" s="3">
        <v>311.60000000000002</v>
      </c>
      <c r="J432" s="3">
        <v>4433.7</v>
      </c>
      <c r="K432" s="1" t="s">
        <v>40</v>
      </c>
      <c r="L432" s="2" t="s">
        <v>49</v>
      </c>
      <c r="M432" s="3">
        <v>291.57</v>
      </c>
      <c r="N432" s="3">
        <v>949.33</v>
      </c>
      <c r="O432" s="2" t="s">
        <v>70</v>
      </c>
      <c r="P432" s="3">
        <v>33.97</v>
      </c>
      <c r="Q432" t="str">
        <f t="shared" si="19"/>
        <v>2019-04</v>
      </c>
      <c r="R432" s="3">
        <f t="shared" si="20"/>
        <v>63.086226522481496</v>
      </c>
      <c r="S432" s="2" t="str">
        <f t="shared" si="18"/>
        <v>Success</v>
      </c>
    </row>
    <row r="433" spans="1:19" x14ac:dyDescent="0.3">
      <c r="A433" t="s">
        <v>498</v>
      </c>
      <c r="B433" s="1">
        <v>42627</v>
      </c>
      <c r="C433">
        <v>2016</v>
      </c>
      <c r="D433" s="2" t="s">
        <v>31</v>
      </c>
      <c r="E433" s="2" t="s">
        <v>32</v>
      </c>
      <c r="F433" s="2" t="s">
        <v>33</v>
      </c>
      <c r="G433" t="s">
        <v>46</v>
      </c>
      <c r="H433" s="3">
        <v>84.49</v>
      </c>
      <c r="I433" s="3">
        <v>117.4</v>
      </c>
      <c r="J433" s="3">
        <v>1389.56</v>
      </c>
      <c r="K433" s="1" t="s">
        <v>28</v>
      </c>
      <c r="L433" s="2" t="s">
        <v>47</v>
      </c>
      <c r="M433" s="3">
        <v>83.64</v>
      </c>
      <c r="N433" s="3">
        <v>894.62</v>
      </c>
      <c r="O433" s="2" t="s">
        <v>70</v>
      </c>
      <c r="P433" s="3">
        <v>24.94</v>
      </c>
      <c r="Q433" t="str">
        <f t="shared" si="19"/>
        <v>2016-09</v>
      </c>
      <c r="R433" s="3">
        <f t="shared" si="20"/>
        <v>16.446443366078825</v>
      </c>
      <c r="S433" s="2" t="str">
        <f t="shared" si="18"/>
        <v>Success</v>
      </c>
    </row>
    <row r="434" spans="1:19" x14ac:dyDescent="0.3">
      <c r="A434" t="s">
        <v>499</v>
      </c>
      <c r="B434" s="1">
        <v>41419</v>
      </c>
      <c r="C434">
        <v>2013</v>
      </c>
      <c r="D434" s="2" t="s">
        <v>103</v>
      </c>
      <c r="E434" s="2" t="s">
        <v>228</v>
      </c>
      <c r="F434" s="2" t="s">
        <v>19</v>
      </c>
      <c r="G434" t="s">
        <v>64</v>
      </c>
      <c r="H434" s="3">
        <v>11.82</v>
      </c>
      <c r="I434" s="3">
        <v>63.57</v>
      </c>
      <c r="J434" s="3">
        <v>5378.37</v>
      </c>
      <c r="K434" s="1" t="s">
        <v>21</v>
      </c>
      <c r="L434" s="2" t="s">
        <v>49</v>
      </c>
      <c r="M434" s="3">
        <v>170.92</v>
      </c>
      <c r="N434" s="3">
        <v>888.65</v>
      </c>
      <c r="O434" s="2" t="s">
        <v>70</v>
      </c>
      <c r="P434" s="3">
        <v>26.41</v>
      </c>
      <c r="Q434" t="str">
        <f t="shared" si="19"/>
        <v>2013-05</v>
      </c>
      <c r="R434" s="3">
        <f t="shared" si="20"/>
        <v>455.02284263959388</v>
      </c>
      <c r="S434" s="2" t="str">
        <f t="shared" si="18"/>
        <v>Success</v>
      </c>
    </row>
    <row r="435" spans="1:19" x14ac:dyDescent="0.3">
      <c r="A435" t="s">
        <v>500</v>
      </c>
      <c r="B435" s="1">
        <v>43612</v>
      </c>
      <c r="C435">
        <v>2019</v>
      </c>
      <c r="D435" s="2" t="s">
        <v>31</v>
      </c>
      <c r="E435" s="2" t="s">
        <v>117</v>
      </c>
      <c r="F435" s="2" t="s">
        <v>19</v>
      </c>
      <c r="G435" t="s">
        <v>20</v>
      </c>
      <c r="H435" s="3">
        <v>92.78</v>
      </c>
      <c r="I435" s="3">
        <v>434.74</v>
      </c>
      <c r="J435" s="3">
        <v>4685.74</v>
      </c>
      <c r="K435" s="1" t="s">
        <v>28</v>
      </c>
      <c r="L435" s="2" t="s">
        <v>47</v>
      </c>
      <c r="M435" s="3">
        <v>179.93</v>
      </c>
      <c r="N435" s="3">
        <v>831.86</v>
      </c>
      <c r="O435" s="2" t="s">
        <v>52</v>
      </c>
      <c r="P435" s="3">
        <v>32.119999999999997</v>
      </c>
      <c r="Q435" t="str">
        <f t="shared" si="19"/>
        <v>2019-05</v>
      </c>
      <c r="R435" s="3">
        <f t="shared" si="20"/>
        <v>50.503772364733777</v>
      </c>
      <c r="S435" s="2" t="str">
        <f t="shared" si="18"/>
        <v>Success</v>
      </c>
    </row>
    <row r="436" spans="1:19" x14ac:dyDescent="0.3">
      <c r="A436" t="s">
        <v>501</v>
      </c>
      <c r="B436" s="1">
        <v>41896</v>
      </c>
      <c r="C436">
        <v>2014</v>
      </c>
      <c r="D436" s="2" t="s">
        <v>103</v>
      </c>
      <c r="E436" s="2" t="s">
        <v>228</v>
      </c>
      <c r="F436" s="2" t="s">
        <v>33</v>
      </c>
      <c r="G436" t="s">
        <v>64</v>
      </c>
      <c r="H436" s="3">
        <v>12.7</v>
      </c>
      <c r="I436" s="3">
        <v>48.12</v>
      </c>
      <c r="J436" s="3">
        <v>3789.31</v>
      </c>
      <c r="K436" s="1" t="s">
        <v>21</v>
      </c>
      <c r="L436" s="2" t="s">
        <v>22</v>
      </c>
      <c r="M436" s="3">
        <v>234.37</v>
      </c>
      <c r="N436" s="3">
        <v>407.33</v>
      </c>
      <c r="O436" s="2" t="s">
        <v>61</v>
      </c>
      <c r="P436" s="3">
        <v>34.979999999999997</v>
      </c>
      <c r="Q436" t="str">
        <f t="shared" si="19"/>
        <v>2014-09</v>
      </c>
      <c r="R436" s="3">
        <f t="shared" si="20"/>
        <v>298.37086614173228</v>
      </c>
      <c r="S436" s="2" t="str">
        <f t="shared" si="18"/>
        <v>Success</v>
      </c>
    </row>
    <row r="437" spans="1:19" x14ac:dyDescent="0.3">
      <c r="A437" t="s">
        <v>502</v>
      </c>
      <c r="B437" s="1">
        <v>43211</v>
      </c>
      <c r="C437">
        <v>2018</v>
      </c>
      <c r="D437" s="2" t="s">
        <v>31</v>
      </c>
      <c r="E437" s="2" t="s">
        <v>32</v>
      </c>
      <c r="F437" s="2" t="s">
        <v>19</v>
      </c>
      <c r="G437" t="s">
        <v>56</v>
      </c>
      <c r="H437" s="3">
        <v>2.12</v>
      </c>
      <c r="I437" s="3">
        <v>4.68</v>
      </c>
      <c r="J437" s="3">
        <v>2207.12</v>
      </c>
      <c r="K437" s="1" t="s">
        <v>34</v>
      </c>
      <c r="L437" s="2" t="s">
        <v>22</v>
      </c>
      <c r="M437" s="3">
        <v>113.6</v>
      </c>
      <c r="N437" s="3">
        <v>267.83999999999997</v>
      </c>
      <c r="O437" s="2" t="s">
        <v>70</v>
      </c>
      <c r="P437" s="3">
        <v>27.6</v>
      </c>
      <c r="Q437" t="str">
        <f t="shared" si="19"/>
        <v>2018-04</v>
      </c>
      <c r="R437" s="3">
        <f t="shared" si="20"/>
        <v>1041.0943396226414</v>
      </c>
      <c r="S437" s="2" t="str">
        <f t="shared" si="18"/>
        <v>Success</v>
      </c>
    </row>
    <row r="438" spans="1:19" x14ac:dyDescent="0.3">
      <c r="A438" t="s">
        <v>503</v>
      </c>
      <c r="B438" s="1">
        <v>42431</v>
      </c>
      <c r="C438">
        <v>2015</v>
      </c>
      <c r="D438" s="2" t="s">
        <v>25</v>
      </c>
      <c r="E438" s="2" t="s">
        <v>69</v>
      </c>
      <c r="F438" s="2" t="s">
        <v>38</v>
      </c>
      <c r="G438" t="s">
        <v>46</v>
      </c>
      <c r="H438" s="3">
        <v>72.72</v>
      </c>
      <c r="I438" s="3">
        <v>341.49</v>
      </c>
      <c r="J438" s="3">
        <v>4695.96</v>
      </c>
      <c r="K438" s="1" t="s">
        <v>21</v>
      </c>
      <c r="L438" s="2" t="s">
        <v>29</v>
      </c>
      <c r="M438" s="3">
        <v>258.01</v>
      </c>
      <c r="N438" s="3">
        <v>394.02</v>
      </c>
      <c r="O438" s="2" t="s">
        <v>70</v>
      </c>
      <c r="P438" s="3">
        <v>33.83</v>
      </c>
      <c r="Q438" t="str">
        <f t="shared" si="19"/>
        <v>2016-03</v>
      </c>
      <c r="R438" s="3">
        <f t="shared" si="20"/>
        <v>64.575907590759073</v>
      </c>
      <c r="S438" s="2" t="str">
        <f t="shared" si="18"/>
        <v>Success</v>
      </c>
    </row>
    <row r="439" spans="1:19" x14ac:dyDescent="0.3">
      <c r="A439" t="s">
        <v>504</v>
      </c>
      <c r="B439" s="1">
        <v>44059</v>
      </c>
      <c r="C439">
        <v>2020</v>
      </c>
      <c r="D439" s="2" t="s">
        <v>44</v>
      </c>
      <c r="E439" s="2" t="s">
        <v>45</v>
      </c>
      <c r="F439" s="2" t="s">
        <v>33</v>
      </c>
      <c r="G439" t="s">
        <v>46</v>
      </c>
      <c r="H439" s="3">
        <v>16.38</v>
      </c>
      <c r="I439" s="3">
        <v>61.65</v>
      </c>
      <c r="J439" s="3">
        <v>3763.71</v>
      </c>
      <c r="K439" s="1" t="s">
        <v>34</v>
      </c>
      <c r="L439" s="2" t="s">
        <v>47</v>
      </c>
      <c r="M439" s="3">
        <v>165.62</v>
      </c>
      <c r="N439" s="3">
        <v>1014.17</v>
      </c>
      <c r="O439" s="2" t="s">
        <v>23</v>
      </c>
      <c r="P439" s="3">
        <v>32.53</v>
      </c>
      <c r="Q439" t="str">
        <f t="shared" si="19"/>
        <v>2020-08</v>
      </c>
      <c r="R439" s="3">
        <f t="shared" si="20"/>
        <v>229.77472527472528</v>
      </c>
      <c r="S439" s="2" t="str">
        <f t="shared" si="18"/>
        <v>Success</v>
      </c>
    </row>
    <row r="440" spans="1:19" x14ac:dyDescent="0.3">
      <c r="A440" t="s">
        <v>505</v>
      </c>
      <c r="B440" s="1">
        <v>42104</v>
      </c>
      <c r="C440">
        <v>2015</v>
      </c>
      <c r="D440" s="2" t="s">
        <v>17</v>
      </c>
      <c r="E440" s="2" t="s">
        <v>54</v>
      </c>
      <c r="F440" s="2" t="s">
        <v>19</v>
      </c>
      <c r="G440" t="s">
        <v>27</v>
      </c>
      <c r="H440" s="3">
        <v>2.85</v>
      </c>
      <c r="I440" s="3">
        <v>12.72</v>
      </c>
      <c r="J440" s="3">
        <v>4464.3900000000003</v>
      </c>
      <c r="K440" s="1" t="s">
        <v>34</v>
      </c>
      <c r="L440" s="2" t="s">
        <v>49</v>
      </c>
      <c r="M440" s="3">
        <v>249.88</v>
      </c>
      <c r="N440" s="3">
        <v>1088.03</v>
      </c>
      <c r="O440" s="2" t="s">
        <v>70</v>
      </c>
      <c r="P440" s="3">
        <v>20.99</v>
      </c>
      <c r="Q440" t="str">
        <f t="shared" si="19"/>
        <v>2015-04</v>
      </c>
      <c r="R440" s="3">
        <f t="shared" si="20"/>
        <v>1566.4526315789474</v>
      </c>
      <c r="S440" s="2" t="str">
        <f t="shared" si="18"/>
        <v>Success</v>
      </c>
    </row>
    <row r="441" spans="1:19" x14ac:dyDescent="0.3">
      <c r="A441" t="s">
        <v>506</v>
      </c>
      <c r="B441" s="1">
        <v>42389</v>
      </c>
      <c r="C441">
        <v>2015</v>
      </c>
      <c r="D441" s="2" t="s">
        <v>44</v>
      </c>
      <c r="E441" s="2" t="s">
        <v>45</v>
      </c>
      <c r="F441" s="2" t="s">
        <v>38</v>
      </c>
      <c r="G441" t="s">
        <v>39</v>
      </c>
      <c r="H441" s="3">
        <v>53.89</v>
      </c>
      <c r="I441" s="3">
        <v>107.55</v>
      </c>
      <c r="J441" s="3">
        <v>1995.82</v>
      </c>
      <c r="K441" s="1" t="s">
        <v>28</v>
      </c>
      <c r="L441" s="2" t="s">
        <v>22</v>
      </c>
      <c r="M441" s="3">
        <v>96.84</v>
      </c>
      <c r="N441" s="3">
        <v>316.83999999999997</v>
      </c>
      <c r="O441" s="2" t="s">
        <v>70</v>
      </c>
      <c r="P441" s="3">
        <v>30.58</v>
      </c>
      <c r="Q441" t="str">
        <f t="shared" si="19"/>
        <v>2016-01</v>
      </c>
      <c r="R441" s="3">
        <f t="shared" si="20"/>
        <v>37.035071441825941</v>
      </c>
      <c r="S441" s="2" t="str">
        <f t="shared" si="18"/>
        <v>Success</v>
      </c>
    </row>
    <row r="442" spans="1:19" x14ac:dyDescent="0.3">
      <c r="A442" t="s">
        <v>507</v>
      </c>
      <c r="B442" s="1">
        <v>40857</v>
      </c>
      <c r="C442">
        <v>2011</v>
      </c>
      <c r="D442" s="2" t="s">
        <v>31</v>
      </c>
      <c r="E442" s="2" t="s">
        <v>32</v>
      </c>
      <c r="F442" s="2" t="s">
        <v>38</v>
      </c>
      <c r="G442" t="s">
        <v>56</v>
      </c>
      <c r="H442" s="3">
        <v>37.79</v>
      </c>
      <c r="I442" s="3">
        <v>225.86</v>
      </c>
      <c r="J442" s="3">
        <v>5976.74</v>
      </c>
      <c r="K442" s="1" t="s">
        <v>34</v>
      </c>
      <c r="L442" s="2" t="s">
        <v>41</v>
      </c>
      <c r="M442" s="3">
        <v>104.03</v>
      </c>
      <c r="N442" s="3">
        <v>502.32</v>
      </c>
      <c r="O442" s="2" t="s">
        <v>23</v>
      </c>
      <c r="P442" s="3">
        <v>25.61</v>
      </c>
      <c r="Q442" t="str">
        <f t="shared" si="19"/>
        <v>2011-11</v>
      </c>
      <c r="R442" s="3">
        <f t="shared" si="20"/>
        <v>158.1566551997883</v>
      </c>
      <c r="S442" s="2" t="str">
        <f t="shared" si="18"/>
        <v>Success</v>
      </c>
    </row>
    <row r="443" spans="1:19" x14ac:dyDescent="0.3">
      <c r="A443" t="s">
        <v>508</v>
      </c>
      <c r="B443" s="1">
        <v>43335</v>
      </c>
      <c r="C443">
        <v>2018</v>
      </c>
      <c r="D443" s="2" t="s">
        <v>25</v>
      </c>
      <c r="E443" s="2" t="s">
        <v>87</v>
      </c>
      <c r="F443" s="2" t="s">
        <v>33</v>
      </c>
      <c r="G443" t="s">
        <v>46</v>
      </c>
      <c r="H443" s="3">
        <v>90.59</v>
      </c>
      <c r="I443" s="3">
        <v>174.34</v>
      </c>
      <c r="J443" s="3">
        <v>1924.47</v>
      </c>
      <c r="K443" s="1" t="s">
        <v>34</v>
      </c>
      <c r="L443" s="2" t="s">
        <v>41</v>
      </c>
      <c r="M443" s="3">
        <v>280.91000000000003</v>
      </c>
      <c r="N443" s="3">
        <v>932.44</v>
      </c>
      <c r="O443" s="2" t="s">
        <v>61</v>
      </c>
      <c r="P443" s="3">
        <v>24.66</v>
      </c>
      <c r="Q443" t="str">
        <f t="shared" si="19"/>
        <v>2018-08</v>
      </c>
      <c r="R443" s="3">
        <f t="shared" si="20"/>
        <v>21.243735511645877</v>
      </c>
      <c r="S443" s="2" t="str">
        <f t="shared" si="18"/>
        <v>Success</v>
      </c>
    </row>
    <row r="444" spans="1:19" x14ac:dyDescent="0.3">
      <c r="A444" t="s">
        <v>509</v>
      </c>
      <c r="B444" s="1">
        <v>43193</v>
      </c>
      <c r="C444">
        <v>2018</v>
      </c>
      <c r="D444" s="2" t="s">
        <v>44</v>
      </c>
      <c r="E444" s="2" t="s">
        <v>45</v>
      </c>
      <c r="F444" s="2" t="s">
        <v>19</v>
      </c>
      <c r="G444" t="s">
        <v>56</v>
      </c>
      <c r="H444" s="3">
        <v>21.31</v>
      </c>
      <c r="I444" s="3">
        <v>25.98</v>
      </c>
      <c r="J444" s="3">
        <v>1219.32</v>
      </c>
      <c r="K444" s="1" t="s">
        <v>28</v>
      </c>
      <c r="L444" s="2" t="s">
        <v>47</v>
      </c>
      <c r="M444" s="3">
        <v>228.42</v>
      </c>
      <c r="N444" s="3">
        <v>722.34</v>
      </c>
      <c r="O444" s="2" t="s">
        <v>23</v>
      </c>
      <c r="P444" s="3">
        <v>24.66</v>
      </c>
      <c r="Q444" t="str">
        <f t="shared" si="19"/>
        <v>2018-04</v>
      </c>
      <c r="R444" s="3">
        <f t="shared" si="20"/>
        <v>57.218207414359455</v>
      </c>
      <c r="S444" s="2" t="str">
        <f t="shared" si="18"/>
        <v>Success</v>
      </c>
    </row>
    <row r="445" spans="1:19" x14ac:dyDescent="0.3">
      <c r="A445" t="s">
        <v>510</v>
      </c>
      <c r="B445" s="1">
        <v>42358</v>
      </c>
      <c r="C445">
        <v>2015</v>
      </c>
      <c r="D445" s="2" t="s">
        <v>44</v>
      </c>
      <c r="E445" s="2" t="s">
        <v>45</v>
      </c>
      <c r="F445" s="2" t="s">
        <v>38</v>
      </c>
      <c r="G445" t="s">
        <v>64</v>
      </c>
      <c r="H445" s="3">
        <v>11.21</v>
      </c>
      <c r="I445" s="3">
        <v>62.74</v>
      </c>
      <c r="J445" s="3">
        <v>5597.08</v>
      </c>
      <c r="K445" s="1" t="s">
        <v>34</v>
      </c>
      <c r="L445" s="2" t="s">
        <v>49</v>
      </c>
      <c r="M445" s="3">
        <v>55.62</v>
      </c>
      <c r="N445" s="3">
        <v>958.49</v>
      </c>
      <c r="O445" s="2" t="s">
        <v>42</v>
      </c>
      <c r="P445" s="3">
        <v>24.81</v>
      </c>
      <c r="Q445" t="str">
        <f t="shared" si="19"/>
        <v>2015-12</v>
      </c>
      <c r="R445" s="3">
        <f t="shared" si="20"/>
        <v>499.29348795718107</v>
      </c>
      <c r="S445" s="2" t="str">
        <f t="shared" si="18"/>
        <v>Success</v>
      </c>
    </row>
    <row r="446" spans="1:19" x14ac:dyDescent="0.3">
      <c r="A446" t="s">
        <v>511</v>
      </c>
      <c r="B446" s="1">
        <v>42361</v>
      </c>
      <c r="C446">
        <v>2015</v>
      </c>
      <c r="D446" s="2" t="s">
        <v>31</v>
      </c>
      <c r="E446" s="2" t="s">
        <v>117</v>
      </c>
      <c r="F446" s="2" t="s">
        <v>38</v>
      </c>
      <c r="G446" t="s">
        <v>39</v>
      </c>
      <c r="H446" s="3">
        <v>12.65</v>
      </c>
      <c r="I446" s="3">
        <v>23.98</v>
      </c>
      <c r="J446" s="3">
        <v>1895.92</v>
      </c>
      <c r="K446" s="1" t="s">
        <v>34</v>
      </c>
      <c r="L446" s="2" t="s">
        <v>47</v>
      </c>
      <c r="M446" s="3">
        <v>78.62</v>
      </c>
      <c r="N446" s="3">
        <v>1158.3</v>
      </c>
      <c r="O446" s="2" t="s">
        <v>61</v>
      </c>
      <c r="P446" s="3">
        <v>27.71</v>
      </c>
      <c r="Q446" t="str">
        <f t="shared" si="19"/>
        <v>2015-12</v>
      </c>
      <c r="R446" s="3">
        <f t="shared" si="20"/>
        <v>149.87509881422926</v>
      </c>
      <c r="S446" s="2" t="str">
        <f t="shared" si="18"/>
        <v>Success</v>
      </c>
    </row>
    <row r="447" spans="1:19" x14ac:dyDescent="0.3">
      <c r="A447" t="s">
        <v>512</v>
      </c>
      <c r="B447" s="1">
        <v>42321</v>
      </c>
      <c r="C447">
        <v>2015</v>
      </c>
      <c r="D447" s="2" t="s">
        <v>31</v>
      </c>
      <c r="E447" s="2" t="s">
        <v>117</v>
      </c>
      <c r="F447" s="2" t="s">
        <v>38</v>
      </c>
      <c r="G447" t="s">
        <v>56</v>
      </c>
      <c r="H447" s="3">
        <v>94.38</v>
      </c>
      <c r="I447" s="3">
        <v>549.66999999999996</v>
      </c>
      <c r="J447" s="3">
        <v>5824.02</v>
      </c>
      <c r="K447" s="1" t="s">
        <v>40</v>
      </c>
      <c r="L447" s="2" t="s">
        <v>41</v>
      </c>
      <c r="M447" s="3">
        <v>92.82</v>
      </c>
      <c r="N447" s="3">
        <v>511.38</v>
      </c>
      <c r="O447" s="2" t="s">
        <v>70</v>
      </c>
      <c r="P447" s="3">
        <v>28.11</v>
      </c>
      <c r="Q447" t="str">
        <f t="shared" si="19"/>
        <v>2015-11</v>
      </c>
      <c r="R447" s="3">
        <f t="shared" si="20"/>
        <v>61.708200890019079</v>
      </c>
      <c r="S447" s="2" t="str">
        <f t="shared" si="18"/>
        <v>Success</v>
      </c>
    </row>
    <row r="448" spans="1:19" x14ac:dyDescent="0.3">
      <c r="A448" t="s">
        <v>513</v>
      </c>
      <c r="B448" s="1">
        <v>44097</v>
      </c>
      <c r="C448">
        <v>2020</v>
      </c>
      <c r="D448" s="2" t="s">
        <v>25</v>
      </c>
      <c r="E448" s="2" t="s">
        <v>87</v>
      </c>
      <c r="F448" s="2" t="s">
        <v>33</v>
      </c>
      <c r="G448" t="s">
        <v>64</v>
      </c>
      <c r="H448" s="3">
        <v>38.979999999999997</v>
      </c>
      <c r="I448" s="3">
        <v>59.12</v>
      </c>
      <c r="J448" s="3">
        <v>1516.72</v>
      </c>
      <c r="K448" s="1" t="s">
        <v>28</v>
      </c>
      <c r="L448" s="2" t="s">
        <v>47</v>
      </c>
      <c r="M448" s="3">
        <v>94.75</v>
      </c>
      <c r="N448" s="3">
        <v>796.12</v>
      </c>
      <c r="O448" s="2" t="s">
        <v>61</v>
      </c>
      <c r="P448" s="3">
        <v>29.44</v>
      </c>
      <c r="Q448" t="str">
        <f t="shared" si="19"/>
        <v>2020-09</v>
      </c>
      <c r="R448" s="3">
        <f t="shared" si="20"/>
        <v>38.910210364289384</v>
      </c>
      <c r="S448" s="2" t="str">
        <f t="shared" si="18"/>
        <v>Success</v>
      </c>
    </row>
    <row r="449" spans="1:19" x14ac:dyDescent="0.3">
      <c r="A449" t="s">
        <v>514</v>
      </c>
      <c r="B449" s="1">
        <v>42179</v>
      </c>
      <c r="C449">
        <v>2015</v>
      </c>
      <c r="D449" s="2" t="s">
        <v>31</v>
      </c>
      <c r="E449" s="2" t="s">
        <v>32</v>
      </c>
      <c r="F449" s="2" t="s">
        <v>33</v>
      </c>
      <c r="G449" t="s">
        <v>39</v>
      </c>
      <c r="H449" s="3">
        <v>76.08</v>
      </c>
      <c r="I449" s="3">
        <v>445.51</v>
      </c>
      <c r="J449" s="3">
        <v>5855.8</v>
      </c>
      <c r="K449" s="1" t="s">
        <v>21</v>
      </c>
      <c r="L449" s="2" t="s">
        <v>29</v>
      </c>
      <c r="M449" s="3">
        <v>293.42</v>
      </c>
      <c r="N449" s="3">
        <v>955.74</v>
      </c>
      <c r="O449" s="2" t="s">
        <v>52</v>
      </c>
      <c r="P449" s="3">
        <v>28.52</v>
      </c>
      <c r="Q449" t="str">
        <f t="shared" si="19"/>
        <v>2015-06</v>
      </c>
      <c r="R449" s="3">
        <f t="shared" si="20"/>
        <v>76.968980021030504</v>
      </c>
      <c r="S449" s="2" t="str">
        <f t="shared" si="18"/>
        <v>Success</v>
      </c>
    </row>
    <row r="450" spans="1:19" x14ac:dyDescent="0.3">
      <c r="A450" t="s">
        <v>515</v>
      </c>
      <c r="B450" s="1">
        <v>41753</v>
      </c>
      <c r="C450">
        <v>2014</v>
      </c>
      <c r="D450" s="2" t="s">
        <v>25</v>
      </c>
      <c r="E450" s="2" t="s">
        <v>87</v>
      </c>
      <c r="F450" s="2" t="s">
        <v>19</v>
      </c>
      <c r="G450" t="s">
        <v>39</v>
      </c>
      <c r="H450" s="3">
        <v>71.31</v>
      </c>
      <c r="I450" s="3">
        <v>270.43</v>
      </c>
      <c r="J450" s="3">
        <v>3792.38</v>
      </c>
      <c r="K450" s="1" t="s">
        <v>40</v>
      </c>
      <c r="L450" s="2" t="s">
        <v>29</v>
      </c>
      <c r="M450" s="3">
        <v>286.86</v>
      </c>
      <c r="N450" s="3">
        <v>343.72</v>
      </c>
      <c r="O450" s="2" t="s">
        <v>61</v>
      </c>
      <c r="P450" s="3">
        <v>23.87</v>
      </c>
      <c r="Q450" t="str">
        <f t="shared" si="19"/>
        <v>2014-04</v>
      </c>
      <c r="R450" s="3">
        <f t="shared" si="20"/>
        <v>53.181601458420978</v>
      </c>
      <c r="S450" s="2" t="str">
        <f t="shared" ref="S450:S501" si="21">IF(R450&lt;=0, "Failure","Success")</f>
        <v>Success</v>
      </c>
    </row>
    <row r="451" spans="1:19" x14ac:dyDescent="0.3">
      <c r="A451" t="s">
        <v>516</v>
      </c>
      <c r="B451" s="1">
        <v>44225</v>
      </c>
      <c r="C451">
        <v>2020</v>
      </c>
      <c r="D451" s="2" t="s">
        <v>103</v>
      </c>
      <c r="E451" s="2" t="s">
        <v>228</v>
      </c>
      <c r="F451" s="2" t="s">
        <v>38</v>
      </c>
      <c r="G451" t="s">
        <v>20</v>
      </c>
      <c r="H451" s="3">
        <v>45.88</v>
      </c>
      <c r="I451" s="3">
        <v>54.21</v>
      </c>
      <c r="J451" s="3">
        <v>1181.58</v>
      </c>
      <c r="K451" s="1" t="s">
        <v>28</v>
      </c>
      <c r="L451" s="2" t="s">
        <v>47</v>
      </c>
      <c r="M451" s="3">
        <v>78.22</v>
      </c>
      <c r="N451" s="3">
        <v>678.65</v>
      </c>
      <c r="O451" s="2" t="s">
        <v>42</v>
      </c>
      <c r="P451" s="3">
        <v>24.23</v>
      </c>
      <c r="Q451" t="str">
        <f t="shared" ref="Q451:Q501" si="22">TEXT(B451,"yyyy-mm")</f>
        <v>2021-01</v>
      </c>
      <c r="R451" s="3">
        <f t="shared" ref="R451:R501" si="23">J451/H451</f>
        <v>25.753705318221446</v>
      </c>
      <c r="S451" s="2" t="str">
        <f t="shared" si="21"/>
        <v>Success</v>
      </c>
    </row>
    <row r="452" spans="1:19" x14ac:dyDescent="0.3">
      <c r="A452" t="s">
        <v>517</v>
      </c>
      <c r="B452" s="1">
        <v>43354</v>
      </c>
      <c r="C452">
        <v>2018</v>
      </c>
      <c r="D452" s="2" t="s">
        <v>59</v>
      </c>
      <c r="E452" s="2" t="s">
        <v>60</v>
      </c>
      <c r="F452" s="2" t="s">
        <v>33</v>
      </c>
      <c r="G452" t="s">
        <v>46</v>
      </c>
      <c r="H452" s="3">
        <v>81.94</v>
      </c>
      <c r="I452" s="3">
        <v>473.66</v>
      </c>
      <c r="J452" s="3">
        <v>5780.55</v>
      </c>
      <c r="K452" s="1" t="s">
        <v>34</v>
      </c>
      <c r="L452" s="2" t="s">
        <v>47</v>
      </c>
      <c r="M452" s="3">
        <v>189.04</v>
      </c>
      <c r="N452" s="3">
        <v>270.92</v>
      </c>
      <c r="O452" s="2" t="s">
        <v>70</v>
      </c>
      <c r="P452" s="3">
        <v>27.99</v>
      </c>
      <c r="Q452" t="str">
        <f t="shared" si="22"/>
        <v>2018-09</v>
      </c>
      <c r="R452" s="3">
        <f t="shared" si="23"/>
        <v>70.546131315596782</v>
      </c>
      <c r="S452" s="2" t="str">
        <f t="shared" si="21"/>
        <v>Success</v>
      </c>
    </row>
    <row r="453" spans="1:19" x14ac:dyDescent="0.3">
      <c r="A453" t="s">
        <v>518</v>
      </c>
      <c r="B453" s="1">
        <v>43728</v>
      </c>
      <c r="C453">
        <v>2019</v>
      </c>
      <c r="D453" s="2" t="s">
        <v>36</v>
      </c>
      <c r="E453" s="2" t="s">
        <v>37</v>
      </c>
      <c r="F453" s="2" t="s">
        <v>33</v>
      </c>
      <c r="G453" t="s">
        <v>27</v>
      </c>
      <c r="H453" s="3">
        <v>16.739999999999998</v>
      </c>
      <c r="I453" s="3">
        <v>65.19</v>
      </c>
      <c r="J453" s="3">
        <v>3894.25</v>
      </c>
      <c r="K453" s="1" t="s">
        <v>21</v>
      </c>
      <c r="L453" s="2" t="s">
        <v>47</v>
      </c>
      <c r="M453" s="3">
        <v>135.18</v>
      </c>
      <c r="N453" s="3">
        <v>1013.92</v>
      </c>
      <c r="O453" s="2" t="s">
        <v>61</v>
      </c>
      <c r="P453" s="3">
        <v>26.47</v>
      </c>
      <c r="Q453" t="str">
        <f t="shared" si="22"/>
        <v>2019-09</v>
      </c>
      <c r="R453" s="3">
        <f t="shared" si="23"/>
        <v>232.631421744325</v>
      </c>
      <c r="S453" s="2" t="str">
        <f t="shared" si="21"/>
        <v>Success</v>
      </c>
    </row>
    <row r="454" spans="1:19" x14ac:dyDescent="0.3">
      <c r="A454" t="s">
        <v>519</v>
      </c>
      <c r="B454" s="1">
        <v>43243</v>
      </c>
      <c r="C454">
        <v>2018</v>
      </c>
      <c r="D454" s="2" t="s">
        <v>44</v>
      </c>
      <c r="E454" s="2" t="s">
        <v>99</v>
      </c>
      <c r="F454" s="2" t="s">
        <v>19</v>
      </c>
      <c r="G454" t="s">
        <v>56</v>
      </c>
      <c r="H454" s="3">
        <v>18.14</v>
      </c>
      <c r="I454" s="3">
        <v>91.02</v>
      </c>
      <c r="J454" s="3">
        <v>5017.63</v>
      </c>
      <c r="K454" s="1" t="s">
        <v>28</v>
      </c>
      <c r="L454" s="2" t="s">
        <v>29</v>
      </c>
      <c r="M454" s="3">
        <v>78.58</v>
      </c>
      <c r="N454" s="3">
        <v>796.08</v>
      </c>
      <c r="O454" s="2" t="s">
        <v>70</v>
      </c>
      <c r="P454" s="3">
        <v>28.33</v>
      </c>
      <c r="Q454" t="str">
        <f t="shared" si="22"/>
        <v>2018-05</v>
      </c>
      <c r="R454" s="3">
        <f t="shared" si="23"/>
        <v>276.60584343991178</v>
      </c>
      <c r="S454" s="2" t="str">
        <f t="shared" si="21"/>
        <v>Success</v>
      </c>
    </row>
    <row r="455" spans="1:19" x14ac:dyDescent="0.3">
      <c r="A455" t="s">
        <v>520</v>
      </c>
      <c r="B455" s="1">
        <v>42557</v>
      </c>
      <c r="C455">
        <v>2016</v>
      </c>
      <c r="D455" s="2" t="s">
        <v>103</v>
      </c>
      <c r="E455" s="2" t="s">
        <v>107</v>
      </c>
      <c r="F455" s="2" t="s">
        <v>33</v>
      </c>
      <c r="G455" t="s">
        <v>27</v>
      </c>
      <c r="H455" s="3">
        <v>11.77</v>
      </c>
      <c r="I455" s="3">
        <v>69.260000000000005</v>
      </c>
      <c r="J455" s="3">
        <v>5884.4</v>
      </c>
      <c r="K455" s="1" t="s">
        <v>28</v>
      </c>
      <c r="L455" s="2" t="s">
        <v>47</v>
      </c>
      <c r="M455" s="3">
        <v>131.85</v>
      </c>
      <c r="N455" s="3">
        <v>844.99</v>
      </c>
      <c r="O455" s="2" t="s">
        <v>23</v>
      </c>
      <c r="P455" s="3">
        <v>21.36</v>
      </c>
      <c r="Q455" t="str">
        <f t="shared" si="22"/>
        <v>2016-07</v>
      </c>
      <c r="R455" s="3">
        <f t="shared" si="23"/>
        <v>499.94902293967715</v>
      </c>
      <c r="S455" s="2" t="str">
        <f t="shared" si="21"/>
        <v>Success</v>
      </c>
    </row>
    <row r="456" spans="1:19" x14ac:dyDescent="0.3">
      <c r="A456" t="s">
        <v>521</v>
      </c>
      <c r="B456" s="1">
        <v>44794</v>
      </c>
      <c r="C456">
        <v>2022</v>
      </c>
      <c r="D456" s="2" t="s">
        <v>44</v>
      </c>
      <c r="E456" s="2" t="s">
        <v>67</v>
      </c>
      <c r="F456" s="2" t="s">
        <v>33</v>
      </c>
      <c r="G456" t="s">
        <v>56</v>
      </c>
      <c r="H456" s="3">
        <v>66.430000000000007</v>
      </c>
      <c r="I456" s="3">
        <v>246.98</v>
      </c>
      <c r="J456" s="3">
        <v>3717.85</v>
      </c>
      <c r="K456" s="1" t="s">
        <v>34</v>
      </c>
      <c r="L456" s="2" t="s">
        <v>49</v>
      </c>
      <c r="M456" s="3">
        <v>147.5</v>
      </c>
      <c r="N456" s="3">
        <v>777.93</v>
      </c>
      <c r="O456" s="2" t="s">
        <v>42</v>
      </c>
      <c r="P456" s="3">
        <v>23.08</v>
      </c>
      <c r="Q456" t="str">
        <f t="shared" si="22"/>
        <v>2022-08</v>
      </c>
      <c r="R456" s="3">
        <f t="shared" si="23"/>
        <v>55.966430829444519</v>
      </c>
      <c r="S456" s="2" t="str">
        <f t="shared" si="21"/>
        <v>Success</v>
      </c>
    </row>
    <row r="457" spans="1:19" x14ac:dyDescent="0.3">
      <c r="A457" t="s">
        <v>522</v>
      </c>
      <c r="B457" s="1">
        <v>41976</v>
      </c>
      <c r="C457">
        <v>2014</v>
      </c>
      <c r="D457" s="2" t="s">
        <v>59</v>
      </c>
      <c r="E457" s="2" t="s">
        <v>93</v>
      </c>
      <c r="F457" s="2" t="s">
        <v>38</v>
      </c>
      <c r="G457" t="s">
        <v>39</v>
      </c>
      <c r="H457" s="3">
        <v>98.28</v>
      </c>
      <c r="I457" s="3">
        <v>301.29000000000002</v>
      </c>
      <c r="J457" s="3">
        <v>3065.59</v>
      </c>
      <c r="K457" s="1" t="s">
        <v>21</v>
      </c>
      <c r="L457" s="2" t="s">
        <v>49</v>
      </c>
      <c r="M457" s="3">
        <v>195.68</v>
      </c>
      <c r="N457" s="3">
        <v>811.49</v>
      </c>
      <c r="O457" s="2" t="s">
        <v>61</v>
      </c>
      <c r="P457" s="3">
        <v>26.06</v>
      </c>
      <c r="Q457" t="str">
        <f t="shared" si="22"/>
        <v>2014-12</v>
      </c>
      <c r="R457" s="3">
        <f t="shared" si="23"/>
        <v>31.192409442409442</v>
      </c>
      <c r="S457" s="2" t="str">
        <f t="shared" si="21"/>
        <v>Success</v>
      </c>
    </row>
    <row r="458" spans="1:19" x14ac:dyDescent="0.3">
      <c r="A458" t="s">
        <v>523</v>
      </c>
      <c r="B458" s="1">
        <v>43403</v>
      </c>
      <c r="C458">
        <v>2018</v>
      </c>
      <c r="D458" s="2" t="s">
        <v>25</v>
      </c>
      <c r="E458" s="2" t="s">
        <v>87</v>
      </c>
      <c r="F458" s="2" t="s">
        <v>33</v>
      </c>
      <c r="G458" t="s">
        <v>64</v>
      </c>
      <c r="H458" s="3">
        <v>70.63</v>
      </c>
      <c r="I458" s="3">
        <v>418.45</v>
      </c>
      <c r="J458" s="3">
        <v>5924.52</v>
      </c>
      <c r="K458" s="1" t="s">
        <v>34</v>
      </c>
      <c r="L458" s="2" t="s">
        <v>29</v>
      </c>
      <c r="M458" s="3">
        <v>77.42</v>
      </c>
      <c r="N458" s="3">
        <v>482.21</v>
      </c>
      <c r="O458" s="2" t="s">
        <v>23</v>
      </c>
      <c r="P458" s="3">
        <v>23.53</v>
      </c>
      <c r="Q458" t="str">
        <f t="shared" si="22"/>
        <v>2018-10</v>
      </c>
      <c r="R458" s="3">
        <f t="shared" si="23"/>
        <v>83.881070366699717</v>
      </c>
      <c r="S458" s="2" t="str">
        <f t="shared" si="21"/>
        <v>Success</v>
      </c>
    </row>
    <row r="459" spans="1:19" x14ac:dyDescent="0.3">
      <c r="A459" t="s">
        <v>524</v>
      </c>
      <c r="B459" s="1">
        <v>44593</v>
      </c>
      <c r="C459">
        <v>2021</v>
      </c>
      <c r="D459" s="2" t="s">
        <v>17</v>
      </c>
      <c r="E459" s="2" t="s">
        <v>72</v>
      </c>
      <c r="F459" s="2" t="s">
        <v>38</v>
      </c>
      <c r="G459" t="s">
        <v>46</v>
      </c>
      <c r="H459" s="3">
        <v>38.770000000000003</v>
      </c>
      <c r="I459" s="3">
        <v>165.58</v>
      </c>
      <c r="J459" s="3">
        <v>4270.71</v>
      </c>
      <c r="K459" s="1" t="s">
        <v>40</v>
      </c>
      <c r="L459" s="2" t="s">
        <v>29</v>
      </c>
      <c r="M459" s="3">
        <v>168.72</v>
      </c>
      <c r="N459" s="3">
        <v>388.23</v>
      </c>
      <c r="O459" s="2" t="s">
        <v>52</v>
      </c>
      <c r="P459" s="3">
        <v>32.65</v>
      </c>
      <c r="Q459" t="str">
        <f t="shared" si="22"/>
        <v>2022-02</v>
      </c>
      <c r="R459" s="3">
        <f t="shared" si="23"/>
        <v>110.15501676554035</v>
      </c>
      <c r="S459" s="2" t="str">
        <f t="shared" si="21"/>
        <v>Success</v>
      </c>
    </row>
    <row r="460" spans="1:19" x14ac:dyDescent="0.3">
      <c r="A460" t="s">
        <v>525</v>
      </c>
      <c r="B460" s="1">
        <v>44017</v>
      </c>
      <c r="C460">
        <v>2020</v>
      </c>
      <c r="D460" s="2" t="s">
        <v>103</v>
      </c>
      <c r="E460" s="2" t="s">
        <v>107</v>
      </c>
      <c r="F460" s="2" t="s">
        <v>33</v>
      </c>
      <c r="G460" t="s">
        <v>56</v>
      </c>
      <c r="H460" s="3">
        <v>2.15</v>
      </c>
      <c r="I460" s="3">
        <v>10.51</v>
      </c>
      <c r="J460" s="3">
        <v>4890.34</v>
      </c>
      <c r="K460" s="1" t="s">
        <v>40</v>
      </c>
      <c r="L460" s="2" t="s">
        <v>22</v>
      </c>
      <c r="M460" s="3">
        <v>230.33</v>
      </c>
      <c r="N460" s="3">
        <v>686.7</v>
      </c>
      <c r="O460" s="2" t="s">
        <v>52</v>
      </c>
      <c r="P460" s="3">
        <v>34.619999999999997</v>
      </c>
      <c r="Q460" t="str">
        <f t="shared" si="22"/>
        <v>2020-07</v>
      </c>
      <c r="R460" s="3">
        <f t="shared" si="23"/>
        <v>2274.5767441860467</v>
      </c>
      <c r="S460" s="2" t="str">
        <f t="shared" si="21"/>
        <v>Success</v>
      </c>
    </row>
    <row r="461" spans="1:19" x14ac:dyDescent="0.3">
      <c r="A461" t="s">
        <v>526</v>
      </c>
      <c r="B461" s="1">
        <v>44981</v>
      </c>
      <c r="C461">
        <v>2022</v>
      </c>
      <c r="D461" s="2" t="s">
        <v>103</v>
      </c>
      <c r="E461" s="2" t="s">
        <v>228</v>
      </c>
      <c r="F461" s="2" t="s">
        <v>38</v>
      </c>
      <c r="G461" t="s">
        <v>46</v>
      </c>
      <c r="H461" s="3">
        <v>89.46</v>
      </c>
      <c r="I461" s="3">
        <v>462.72</v>
      </c>
      <c r="J461" s="3">
        <v>5172.34</v>
      </c>
      <c r="K461" s="1" t="s">
        <v>28</v>
      </c>
      <c r="L461" s="2" t="s">
        <v>29</v>
      </c>
      <c r="M461" s="3">
        <v>205.81</v>
      </c>
      <c r="N461" s="3">
        <v>654.39</v>
      </c>
      <c r="O461" s="2" t="s">
        <v>52</v>
      </c>
      <c r="P461" s="3">
        <v>28.28</v>
      </c>
      <c r="Q461" t="str">
        <f t="shared" si="22"/>
        <v>2023-02</v>
      </c>
      <c r="R461" s="3">
        <f t="shared" si="23"/>
        <v>57.817348535658404</v>
      </c>
      <c r="S461" s="2" t="str">
        <f t="shared" si="21"/>
        <v>Success</v>
      </c>
    </row>
    <row r="462" spans="1:19" x14ac:dyDescent="0.3">
      <c r="A462" t="s">
        <v>527</v>
      </c>
      <c r="B462" s="1">
        <v>41222</v>
      </c>
      <c r="C462">
        <v>2012</v>
      </c>
      <c r="D462" s="2" t="s">
        <v>31</v>
      </c>
      <c r="E462" s="2" t="s">
        <v>82</v>
      </c>
      <c r="F462" s="2" t="s">
        <v>38</v>
      </c>
      <c r="G462" t="s">
        <v>27</v>
      </c>
      <c r="H462" s="3">
        <v>1.74</v>
      </c>
      <c r="I462" s="3">
        <v>6.94</v>
      </c>
      <c r="J462" s="3">
        <v>3988.94</v>
      </c>
      <c r="K462" s="1" t="s">
        <v>40</v>
      </c>
      <c r="L462" s="2" t="s">
        <v>22</v>
      </c>
      <c r="M462" s="3">
        <v>228.03</v>
      </c>
      <c r="N462" s="3">
        <v>469.25</v>
      </c>
      <c r="O462" s="2" t="s">
        <v>61</v>
      </c>
      <c r="P462" s="3">
        <v>28.65</v>
      </c>
      <c r="Q462" t="str">
        <f t="shared" si="22"/>
        <v>2012-11</v>
      </c>
      <c r="R462" s="3">
        <f t="shared" si="23"/>
        <v>2292.4942528735633</v>
      </c>
      <c r="S462" s="2" t="str">
        <f t="shared" si="21"/>
        <v>Success</v>
      </c>
    </row>
    <row r="463" spans="1:19" x14ac:dyDescent="0.3">
      <c r="A463" t="s">
        <v>528</v>
      </c>
      <c r="B463" s="1">
        <v>44521</v>
      </c>
      <c r="C463">
        <v>2021</v>
      </c>
      <c r="D463" s="2" t="s">
        <v>59</v>
      </c>
      <c r="E463" s="2" t="s">
        <v>63</v>
      </c>
      <c r="F463" s="2" t="s">
        <v>38</v>
      </c>
      <c r="G463" t="s">
        <v>64</v>
      </c>
      <c r="H463" s="3">
        <v>58.45</v>
      </c>
      <c r="I463" s="3">
        <v>395.73</v>
      </c>
      <c r="J463" s="3">
        <v>6770.43</v>
      </c>
      <c r="K463" s="1" t="s">
        <v>21</v>
      </c>
      <c r="L463" s="2" t="s">
        <v>47</v>
      </c>
      <c r="M463" s="3">
        <v>85.52</v>
      </c>
      <c r="N463" s="3">
        <v>931.29</v>
      </c>
      <c r="O463" s="2" t="s">
        <v>70</v>
      </c>
      <c r="P463" s="3">
        <v>26.97</v>
      </c>
      <c r="Q463" t="str">
        <f t="shared" si="22"/>
        <v>2021-11</v>
      </c>
      <c r="R463" s="3">
        <f t="shared" si="23"/>
        <v>115.83284858853722</v>
      </c>
      <c r="S463" s="2" t="str">
        <f t="shared" si="21"/>
        <v>Success</v>
      </c>
    </row>
    <row r="464" spans="1:19" x14ac:dyDescent="0.3">
      <c r="A464" t="s">
        <v>529</v>
      </c>
      <c r="B464" s="1">
        <v>41592</v>
      </c>
      <c r="C464">
        <v>2013</v>
      </c>
      <c r="D464" s="2" t="s">
        <v>59</v>
      </c>
      <c r="E464" s="2" t="s">
        <v>60</v>
      </c>
      <c r="F464" s="2" t="s">
        <v>38</v>
      </c>
      <c r="G464" t="s">
        <v>39</v>
      </c>
      <c r="H464" s="3">
        <v>74.430000000000007</v>
      </c>
      <c r="I464" s="3">
        <v>503.33</v>
      </c>
      <c r="J464" s="3">
        <v>6762.47</v>
      </c>
      <c r="K464" s="1" t="s">
        <v>21</v>
      </c>
      <c r="L464" s="2" t="s">
        <v>49</v>
      </c>
      <c r="M464" s="3">
        <v>221.02</v>
      </c>
      <c r="N464" s="3">
        <v>739.2</v>
      </c>
      <c r="O464" s="2" t="s">
        <v>61</v>
      </c>
      <c r="P464" s="3">
        <v>24.69</v>
      </c>
      <c r="Q464" t="str">
        <f t="shared" si="22"/>
        <v>2013-11</v>
      </c>
      <c r="R464" s="3">
        <f t="shared" si="23"/>
        <v>90.856778180841047</v>
      </c>
      <c r="S464" s="2" t="str">
        <f t="shared" si="21"/>
        <v>Success</v>
      </c>
    </row>
    <row r="465" spans="1:19" x14ac:dyDescent="0.3">
      <c r="A465" t="s">
        <v>530</v>
      </c>
      <c r="B465" s="1">
        <v>43049</v>
      </c>
      <c r="C465">
        <v>2017</v>
      </c>
      <c r="D465" s="2" t="s">
        <v>59</v>
      </c>
      <c r="E465" s="2" t="s">
        <v>60</v>
      </c>
      <c r="F465" s="2" t="s">
        <v>38</v>
      </c>
      <c r="G465" t="s">
        <v>27</v>
      </c>
      <c r="H465" s="3">
        <v>90.7</v>
      </c>
      <c r="I465" s="3">
        <v>403.05</v>
      </c>
      <c r="J465" s="3">
        <v>4443.79</v>
      </c>
      <c r="K465" s="1" t="s">
        <v>34</v>
      </c>
      <c r="L465" s="2" t="s">
        <v>47</v>
      </c>
      <c r="M465" s="3">
        <v>155.25</v>
      </c>
      <c r="N465" s="3">
        <v>1160.58</v>
      </c>
      <c r="O465" s="2" t="s">
        <v>70</v>
      </c>
      <c r="P465" s="3">
        <v>24.34</v>
      </c>
      <c r="Q465" t="str">
        <f t="shared" si="22"/>
        <v>2017-11</v>
      </c>
      <c r="R465" s="3">
        <f t="shared" si="23"/>
        <v>48.994377067254682</v>
      </c>
      <c r="S465" s="2" t="str">
        <f t="shared" si="21"/>
        <v>Success</v>
      </c>
    </row>
    <row r="466" spans="1:19" x14ac:dyDescent="0.3">
      <c r="A466" t="s">
        <v>531</v>
      </c>
      <c r="B466" s="1">
        <v>44326</v>
      </c>
      <c r="C466">
        <v>2021</v>
      </c>
      <c r="D466" s="2" t="s">
        <v>17</v>
      </c>
      <c r="E466" s="2" t="s">
        <v>72</v>
      </c>
      <c r="F466" s="2" t="s">
        <v>19</v>
      </c>
      <c r="G466" t="s">
        <v>20</v>
      </c>
      <c r="H466" s="3">
        <v>7.08</v>
      </c>
      <c r="I466" s="3">
        <v>27.18</v>
      </c>
      <c r="J466" s="3">
        <v>3838.96</v>
      </c>
      <c r="K466" s="1" t="s">
        <v>40</v>
      </c>
      <c r="L466" s="2" t="s">
        <v>22</v>
      </c>
      <c r="M466" s="3">
        <v>193.21</v>
      </c>
      <c r="N466" s="3">
        <v>856.32</v>
      </c>
      <c r="O466" s="2" t="s">
        <v>70</v>
      </c>
      <c r="P466" s="3">
        <v>32.130000000000003</v>
      </c>
      <c r="Q466" t="str">
        <f t="shared" si="22"/>
        <v>2021-05</v>
      </c>
      <c r="R466" s="3">
        <f t="shared" si="23"/>
        <v>542.22598870056493</v>
      </c>
      <c r="S466" s="2" t="str">
        <f t="shared" si="21"/>
        <v>Success</v>
      </c>
    </row>
    <row r="467" spans="1:19" x14ac:dyDescent="0.3">
      <c r="A467" t="s">
        <v>532</v>
      </c>
      <c r="B467" s="1">
        <v>40723</v>
      </c>
      <c r="C467">
        <v>2011</v>
      </c>
      <c r="D467" s="2" t="s">
        <v>31</v>
      </c>
      <c r="E467" s="2" t="s">
        <v>32</v>
      </c>
      <c r="F467" s="2" t="s">
        <v>33</v>
      </c>
      <c r="G467" t="s">
        <v>27</v>
      </c>
      <c r="H467" s="3">
        <v>8.61</v>
      </c>
      <c r="I467" s="3">
        <v>49.1</v>
      </c>
      <c r="J467" s="3">
        <v>5702.58</v>
      </c>
      <c r="K467" s="1" t="s">
        <v>34</v>
      </c>
      <c r="L467" s="2" t="s">
        <v>47</v>
      </c>
      <c r="M467" s="3">
        <v>83.13</v>
      </c>
      <c r="N467" s="3">
        <v>480.97</v>
      </c>
      <c r="O467" s="2" t="s">
        <v>70</v>
      </c>
      <c r="P467" s="3">
        <v>20.21</v>
      </c>
      <c r="Q467" t="str">
        <f t="shared" si="22"/>
        <v>2011-06</v>
      </c>
      <c r="R467" s="3">
        <f t="shared" si="23"/>
        <v>662.32055749128926</v>
      </c>
      <c r="S467" s="2" t="str">
        <f t="shared" si="21"/>
        <v>Success</v>
      </c>
    </row>
    <row r="468" spans="1:19" x14ac:dyDescent="0.3">
      <c r="A468" t="s">
        <v>533</v>
      </c>
      <c r="B468" s="1">
        <v>44356</v>
      </c>
      <c r="C468">
        <v>2021</v>
      </c>
      <c r="D468" s="2" t="s">
        <v>103</v>
      </c>
      <c r="E468" s="2" t="s">
        <v>228</v>
      </c>
      <c r="F468" s="2" t="s">
        <v>33</v>
      </c>
      <c r="G468" t="s">
        <v>39</v>
      </c>
      <c r="H468" s="3">
        <v>45.22</v>
      </c>
      <c r="I468" s="3">
        <v>264.39999999999998</v>
      </c>
      <c r="J468" s="3">
        <v>5847.04</v>
      </c>
      <c r="K468" s="1" t="s">
        <v>34</v>
      </c>
      <c r="L468" s="2" t="s">
        <v>49</v>
      </c>
      <c r="M468" s="3">
        <v>245.63</v>
      </c>
      <c r="N468" s="3">
        <v>436.2</v>
      </c>
      <c r="O468" s="2" t="s">
        <v>42</v>
      </c>
      <c r="P468" s="3">
        <v>31.99</v>
      </c>
      <c r="Q468" t="str">
        <f t="shared" si="22"/>
        <v>2021-06</v>
      </c>
      <c r="R468" s="3">
        <f t="shared" si="23"/>
        <v>129.30207872622734</v>
      </c>
      <c r="S468" s="2" t="str">
        <f t="shared" si="21"/>
        <v>Success</v>
      </c>
    </row>
    <row r="469" spans="1:19" x14ac:dyDescent="0.3">
      <c r="A469" t="s">
        <v>534</v>
      </c>
      <c r="B469" s="1">
        <v>43705</v>
      </c>
      <c r="C469">
        <v>2019</v>
      </c>
      <c r="D469" s="2" t="s">
        <v>25</v>
      </c>
      <c r="E469" s="2" t="s">
        <v>26</v>
      </c>
      <c r="F469" s="2" t="s">
        <v>33</v>
      </c>
      <c r="G469" t="s">
        <v>46</v>
      </c>
      <c r="H469" s="3">
        <v>75.52</v>
      </c>
      <c r="I469" s="3">
        <v>262.64</v>
      </c>
      <c r="J469" s="3">
        <v>3477.69</v>
      </c>
      <c r="K469" s="1" t="s">
        <v>28</v>
      </c>
      <c r="L469" s="2" t="s">
        <v>22</v>
      </c>
      <c r="M469" s="3">
        <v>109.49</v>
      </c>
      <c r="N469" s="3">
        <v>640.19000000000005</v>
      </c>
      <c r="O469" s="2" t="s">
        <v>42</v>
      </c>
      <c r="P469" s="3">
        <v>23.16</v>
      </c>
      <c r="Q469" t="str">
        <f t="shared" si="22"/>
        <v>2019-08</v>
      </c>
      <c r="R469" s="3">
        <f t="shared" si="23"/>
        <v>46.04992055084746</v>
      </c>
      <c r="S469" s="2" t="str">
        <f t="shared" si="21"/>
        <v>Success</v>
      </c>
    </row>
    <row r="470" spans="1:19" x14ac:dyDescent="0.3">
      <c r="A470" t="s">
        <v>535</v>
      </c>
      <c r="B470" s="1">
        <v>44812</v>
      </c>
      <c r="C470">
        <v>2022</v>
      </c>
      <c r="D470" s="2" t="s">
        <v>17</v>
      </c>
      <c r="E470" s="2" t="s">
        <v>72</v>
      </c>
      <c r="F470" s="2" t="s">
        <v>33</v>
      </c>
      <c r="G470" t="s">
        <v>64</v>
      </c>
      <c r="H470" s="3">
        <v>17.59</v>
      </c>
      <c r="I470" s="3">
        <v>59.67</v>
      </c>
      <c r="J470" s="3">
        <v>3392.47</v>
      </c>
      <c r="K470" s="1" t="s">
        <v>34</v>
      </c>
      <c r="L470" s="2" t="s">
        <v>29</v>
      </c>
      <c r="M470" s="3">
        <v>169.07</v>
      </c>
      <c r="N470" s="3">
        <v>1148.25</v>
      </c>
      <c r="O470" s="2" t="s">
        <v>61</v>
      </c>
      <c r="P470" s="3">
        <v>23.5</v>
      </c>
      <c r="Q470" t="str">
        <f t="shared" si="22"/>
        <v>2022-09</v>
      </c>
      <c r="R470" s="3">
        <f t="shared" si="23"/>
        <v>192.86355884025014</v>
      </c>
      <c r="S470" s="2" t="str">
        <f t="shared" si="21"/>
        <v>Success</v>
      </c>
    </row>
    <row r="471" spans="1:19" x14ac:dyDescent="0.3">
      <c r="A471" t="s">
        <v>536</v>
      </c>
      <c r="B471" s="1">
        <v>43541</v>
      </c>
      <c r="C471">
        <v>2018</v>
      </c>
      <c r="D471" s="2" t="s">
        <v>31</v>
      </c>
      <c r="E471" s="2" t="s">
        <v>82</v>
      </c>
      <c r="F471" s="2" t="s">
        <v>38</v>
      </c>
      <c r="G471" t="s">
        <v>64</v>
      </c>
      <c r="H471" s="3">
        <v>29.59</v>
      </c>
      <c r="I471" s="3">
        <v>171.14</v>
      </c>
      <c r="J471" s="3">
        <v>5783.85</v>
      </c>
      <c r="K471" s="1" t="s">
        <v>28</v>
      </c>
      <c r="L471" s="2" t="s">
        <v>49</v>
      </c>
      <c r="M471" s="3">
        <v>219.62</v>
      </c>
      <c r="N471" s="3">
        <v>1161.76</v>
      </c>
      <c r="O471" s="2" t="s">
        <v>23</v>
      </c>
      <c r="P471" s="3">
        <v>21.46</v>
      </c>
      <c r="Q471" t="str">
        <f t="shared" si="22"/>
        <v>2019-03</v>
      </c>
      <c r="R471" s="3">
        <f t="shared" si="23"/>
        <v>195.46637377492397</v>
      </c>
      <c r="S471" s="2" t="str">
        <f t="shared" si="21"/>
        <v>Success</v>
      </c>
    </row>
    <row r="472" spans="1:19" x14ac:dyDescent="0.3">
      <c r="A472" t="s">
        <v>537</v>
      </c>
      <c r="B472" s="1">
        <v>43603</v>
      </c>
      <c r="C472">
        <v>2019</v>
      </c>
      <c r="D472" s="2" t="s">
        <v>44</v>
      </c>
      <c r="E472" s="2" t="s">
        <v>99</v>
      </c>
      <c r="F472" s="2" t="s">
        <v>19</v>
      </c>
      <c r="G472" t="s">
        <v>20</v>
      </c>
      <c r="H472" s="3">
        <v>34.159999999999997</v>
      </c>
      <c r="I472" s="3">
        <v>88.9</v>
      </c>
      <c r="J472" s="3">
        <v>2602.5300000000002</v>
      </c>
      <c r="K472" s="1" t="s">
        <v>21</v>
      </c>
      <c r="L472" s="2" t="s">
        <v>41</v>
      </c>
      <c r="M472" s="3">
        <v>113.84</v>
      </c>
      <c r="N472" s="3">
        <v>784.18</v>
      </c>
      <c r="O472" s="2" t="s">
        <v>52</v>
      </c>
      <c r="P472" s="3">
        <v>31.6</v>
      </c>
      <c r="Q472" t="str">
        <f t="shared" si="22"/>
        <v>2019-05</v>
      </c>
      <c r="R472" s="3">
        <f t="shared" si="23"/>
        <v>76.186475409836078</v>
      </c>
      <c r="S472" s="2" t="str">
        <f t="shared" si="21"/>
        <v>Success</v>
      </c>
    </row>
    <row r="473" spans="1:19" x14ac:dyDescent="0.3">
      <c r="A473" t="s">
        <v>538</v>
      </c>
      <c r="B473" s="1">
        <v>43620</v>
      </c>
      <c r="C473">
        <v>2019</v>
      </c>
      <c r="D473" s="2" t="s">
        <v>17</v>
      </c>
      <c r="E473" s="2" t="s">
        <v>54</v>
      </c>
      <c r="F473" s="2" t="s">
        <v>33</v>
      </c>
      <c r="G473" t="s">
        <v>27</v>
      </c>
      <c r="H473" s="3">
        <v>34.4</v>
      </c>
      <c r="I473" s="3">
        <v>176.87</v>
      </c>
      <c r="J473" s="3">
        <v>5141.67</v>
      </c>
      <c r="K473" s="1" t="s">
        <v>40</v>
      </c>
      <c r="L473" s="2" t="s">
        <v>29</v>
      </c>
      <c r="M473" s="3">
        <v>128.32</v>
      </c>
      <c r="N473" s="3">
        <v>210.58</v>
      </c>
      <c r="O473" s="2" t="s">
        <v>23</v>
      </c>
      <c r="P473" s="3">
        <v>32.479999999999997</v>
      </c>
      <c r="Q473" t="str">
        <f t="shared" si="22"/>
        <v>2019-06</v>
      </c>
      <c r="R473" s="3">
        <f t="shared" si="23"/>
        <v>149.46715116279071</v>
      </c>
      <c r="S473" s="2" t="str">
        <f t="shared" si="21"/>
        <v>Success</v>
      </c>
    </row>
    <row r="474" spans="1:19" x14ac:dyDescent="0.3">
      <c r="A474" t="s">
        <v>539</v>
      </c>
      <c r="B474" s="1">
        <v>40672</v>
      </c>
      <c r="C474">
        <v>2011</v>
      </c>
      <c r="D474" s="2" t="s">
        <v>25</v>
      </c>
      <c r="E474" s="2" t="s">
        <v>69</v>
      </c>
      <c r="F474" s="2" t="s">
        <v>19</v>
      </c>
      <c r="G474" t="s">
        <v>46</v>
      </c>
      <c r="H474" s="3">
        <v>35.799999999999997</v>
      </c>
      <c r="I474" s="3">
        <v>191.58</v>
      </c>
      <c r="J474" s="3">
        <v>5351.5</v>
      </c>
      <c r="K474" s="1" t="s">
        <v>34</v>
      </c>
      <c r="L474" s="2" t="s">
        <v>41</v>
      </c>
      <c r="M474" s="3">
        <v>98.27</v>
      </c>
      <c r="N474" s="3">
        <v>223.7</v>
      </c>
      <c r="O474" s="2" t="s">
        <v>23</v>
      </c>
      <c r="P474" s="3">
        <v>20.85</v>
      </c>
      <c r="Q474" t="str">
        <f t="shared" si="22"/>
        <v>2011-05</v>
      </c>
      <c r="R474" s="3">
        <f t="shared" si="23"/>
        <v>149.4832402234637</v>
      </c>
      <c r="S474" s="2" t="str">
        <f t="shared" si="21"/>
        <v>Success</v>
      </c>
    </row>
    <row r="475" spans="1:19" x14ac:dyDescent="0.3">
      <c r="A475" t="s">
        <v>540</v>
      </c>
      <c r="B475" s="1">
        <v>40645</v>
      </c>
      <c r="C475">
        <v>2011</v>
      </c>
      <c r="D475" s="2" t="s">
        <v>59</v>
      </c>
      <c r="E475" s="2" t="s">
        <v>93</v>
      </c>
      <c r="F475" s="2" t="s">
        <v>19</v>
      </c>
      <c r="G475" t="s">
        <v>64</v>
      </c>
      <c r="H475" s="3">
        <v>9.5500000000000007</v>
      </c>
      <c r="I475" s="3">
        <v>44.2</v>
      </c>
      <c r="J475" s="3">
        <v>4628.1099999999997</v>
      </c>
      <c r="K475" s="1" t="s">
        <v>28</v>
      </c>
      <c r="L475" s="2" t="s">
        <v>22</v>
      </c>
      <c r="M475" s="3">
        <v>214.1</v>
      </c>
      <c r="N475" s="3">
        <v>1099.9000000000001</v>
      </c>
      <c r="O475" s="2" t="s">
        <v>61</v>
      </c>
      <c r="P475" s="3">
        <v>32.049999999999997</v>
      </c>
      <c r="Q475" t="str">
        <f t="shared" si="22"/>
        <v>2011-04</v>
      </c>
      <c r="R475" s="3">
        <f t="shared" si="23"/>
        <v>484.61884816753917</v>
      </c>
      <c r="S475" s="2" t="str">
        <f t="shared" si="21"/>
        <v>Success</v>
      </c>
    </row>
    <row r="476" spans="1:19" x14ac:dyDescent="0.3">
      <c r="A476" t="s">
        <v>541</v>
      </c>
      <c r="B476" s="1">
        <v>42026</v>
      </c>
      <c r="C476">
        <v>2014</v>
      </c>
      <c r="D476" s="2" t="s">
        <v>17</v>
      </c>
      <c r="E476" s="2" t="s">
        <v>18</v>
      </c>
      <c r="F476" s="2" t="s">
        <v>38</v>
      </c>
      <c r="G476" t="s">
        <v>46</v>
      </c>
      <c r="H476" s="3">
        <v>66.39</v>
      </c>
      <c r="I476" s="3">
        <v>96.55</v>
      </c>
      <c r="J476" s="3">
        <v>1454.29</v>
      </c>
      <c r="K476" s="1" t="s">
        <v>28</v>
      </c>
      <c r="L476" s="2" t="s">
        <v>49</v>
      </c>
      <c r="M476" s="3">
        <v>280.67</v>
      </c>
      <c r="N476" s="3">
        <v>476.38</v>
      </c>
      <c r="O476" s="2" t="s">
        <v>52</v>
      </c>
      <c r="P476" s="3">
        <v>30.38</v>
      </c>
      <c r="Q476" t="str">
        <f t="shared" si="22"/>
        <v>2015-01</v>
      </c>
      <c r="R476" s="3">
        <f t="shared" si="23"/>
        <v>21.90525681578551</v>
      </c>
      <c r="S476" s="2" t="str">
        <f t="shared" si="21"/>
        <v>Success</v>
      </c>
    </row>
    <row r="477" spans="1:19" x14ac:dyDescent="0.3">
      <c r="A477" t="s">
        <v>542</v>
      </c>
      <c r="B477" s="1">
        <v>41842</v>
      </c>
      <c r="C477">
        <v>2014</v>
      </c>
      <c r="D477" s="2" t="s">
        <v>103</v>
      </c>
      <c r="E477" s="2" t="s">
        <v>104</v>
      </c>
      <c r="F477" s="2" t="s">
        <v>33</v>
      </c>
      <c r="G477" t="s">
        <v>46</v>
      </c>
      <c r="H477" s="3">
        <v>39.47</v>
      </c>
      <c r="I477" s="3">
        <v>275.33</v>
      </c>
      <c r="J477" s="3">
        <v>6975.75</v>
      </c>
      <c r="K477" s="1" t="s">
        <v>34</v>
      </c>
      <c r="L477" s="2" t="s">
        <v>47</v>
      </c>
      <c r="M477" s="3">
        <v>288.89999999999998</v>
      </c>
      <c r="N477" s="3">
        <v>464.66</v>
      </c>
      <c r="O477" s="2" t="s">
        <v>52</v>
      </c>
      <c r="P477" s="3">
        <v>21.04</v>
      </c>
      <c r="Q477" t="str">
        <f t="shared" si="22"/>
        <v>2014-07</v>
      </c>
      <c r="R477" s="3">
        <f t="shared" si="23"/>
        <v>176.73549531289586</v>
      </c>
      <c r="S477" s="2" t="str">
        <f t="shared" si="21"/>
        <v>Success</v>
      </c>
    </row>
    <row r="478" spans="1:19" x14ac:dyDescent="0.3">
      <c r="A478" t="s">
        <v>543</v>
      </c>
      <c r="B478" s="1">
        <v>44162</v>
      </c>
      <c r="C478">
        <v>2020</v>
      </c>
      <c r="D478" s="2" t="s">
        <v>36</v>
      </c>
      <c r="E478" s="2" t="s">
        <v>37</v>
      </c>
      <c r="F478" s="2" t="s">
        <v>38</v>
      </c>
      <c r="G478" t="s">
        <v>64</v>
      </c>
      <c r="H478" s="3">
        <v>15.24</v>
      </c>
      <c r="I478" s="3">
        <v>85.53</v>
      </c>
      <c r="J478" s="3">
        <v>5612.24</v>
      </c>
      <c r="K478" s="1" t="s">
        <v>40</v>
      </c>
      <c r="L478" s="2" t="s">
        <v>22</v>
      </c>
      <c r="M478" s="3">
        <v>203.49</v>
      </c>
      <c r="N478" s="3">
        <v>306.25</v>
      </c>
      <c r="O478" s="2" t="s">
        <v>52</v>
      </c>
      <c r="P478" s="3">
        <v>30.73</v>
      </c>
      <c r="Q478" t="str">
        <f t="shared" si="22"/>
        <v>2020-11</v>
      </c>
      <c r="R478" s="3">
        <f t="shared" si="23"/>
        <v>368.25721784776903</v>
      </c>
      <c r="S478" s="2" t="str">
        <f t="shared" si="21"/>
        <v>Success</v>
      </c>
    </row>
    <row r="479" spans="1:19" x14ac:dyDescent="0.3">
      <c r="A479" t="s">
        <v>544</v>
      </c>
      <c r="B479" s="1">
        <v>43573</v>
      </c>
      <c r="C479">
        <v>2019</v>
      </c>
      <c r="D479" s="2" t="s">
        <v>25</v>
      </c>
      <c r="E479" s="2" t="s">
        <v>26</v>
      </c>
      <c r="F479" s="2" t="s">
        <v>19</v>
      </c>
      <c r="G479" t="s">
        <v>20</v>
      </c>
      <c r="H479" s="3">
        <v>77.95</v>
      </c>
      <c r="I479" s="3">
        <v>86.73</v>
      </c>
      <c r="J479" s="3">
        <v>1112.5899999999999</v>
      </c>
      <c r="K479" s="1" t="s">
        <v>28</v>
      </c>
      <c r="L479" s="2" t="s">
        <v>41</v>
      </c>
      <c r="M479" s="3">
        <v>87.21</v>
      </c>
      <c r="N479" s="3">
        <v>840.34</v>
      </c>
      <c r="O479" s="2" t="s">
        <v>23</v>
      </c>
      <c r="P479" s="3">
        <v>29.97</v>
      </c>
      <c r="Q479" t="str">
        <f t="shared" si="22"/>
        <v>2019-04</v>
      </c>
      <c r="R479" s="3">
        <f t="shared" si="23"/>
        <v>14.273123797305963</v>
      </c>
      <c r="S479" s="2" t="str">
        <f t="shared" si="21"/>
        <v>Success</v>
      </c>
    </row>
    <row r="480" spans="1:19" x14ac:dyDescent="0.3">
      <c r="A480" t="s">
        <v>545</v>
      </c>
      <c r="B480" s="1">
        <v>42461</v>
      </c>
      <c r="C480">
        <v>2016</v>
      </c>
      <c r="D480" s="2" t="s">
        <v>17</v>
      </c>
      <c r="E480" s="2" t="s">
        <v>72</v>
      </c>
      <c r="F480" s="2" t="s">
        <v>19</v>
      </c>
      <c r="G480" t="s">
        <v>64</v>
      </c>
      <c r="H480" s="3">
        <v>52.02</v>
      </c>
      <c r="I480" s="3">
        <v>345.39</v>
      </c>
      <c r="J480" s="3">
        <v>6639.47</v>
      </c>
      <c r="K480" s="1" t="s">
        <v>28</v>
      </c>
      <c r="L480" s="2" t="s">
        <v>29</v>
      </c>
      <c r="M480" s="3">
        <v>169.53</v>
      </c>
      <c r="N480" s="3">
        <v>603.91</v>
      </c>
      <c r="O480" s="2" t="s">
        <v>23</v>
      </c>
      <c r="P480" s="3">
        <v>28.1</v>
      </c>
      <c r="Q480" t="str">
        <f t="shared" si="22"/>
        <v>2016-04</v>
      </c>
      <c r="R480" s="3">
        <f t="shared" si="23"/>
        <v>127.63302575932333</v>
      </c>
      <c r="S480" s="2" t="str">
        <f t="shared" si="21"/>
        <v>Success</v>
      </c>
    </row>
    <row r="481" spans="1:19" x14ac:dyDescent="0.3">
      <c r="A481" t="s">
        <v>546</v>
      </c>
      <c r="B481" s="1">
        <v>40688</v>
      </c>
      <c r="C481">
        <v>2011</v>
      </c>
      <c r="D481" s="2" t="s">
        <v>17</v>
      </c>
      <c r="E481" s="2" t="s">
        <v>72</v>
      </c>
      <c r="F481" s="2" t="s">
        <v>19</v>
      </c>
      <c r="G481" t="s">
        <v>27</v>
      </c>
      <c r="H481" s="3">
        <v>93.57</v>
      </c>
      <c r="I481" s="3">
        <v>295.07</v>
      </c>
      <c r="J481" s="3">
        <v>3153.51</v>
      </c>
      <c r="K481" s="1" t="s">
        <v>34</v>
      </c>
      <c r="L481" s="2" t="s">
        <v>49</v>
      </c>
      <c r="M481" s="3">
        <v>150.15</v>
      </c>
      <c r="N481" s="3">
        <v>832.27</v>
      </c>
      <c r="O481" s="2" t="s">
        <v>23</v>
      </c>
      <c r="P481" s="3">
        <v>25.48</v>
      </c>
      <c r="Q481" t="str">
        <f t="shared" si="22"/>
        <v>2011-05</v>
      </c>
      <c r="R481" s="3">
        <f t="shared" si="23"/>
        <v>33.702148124398853</v>
      </c>
      <c r="S481" s="2" t="str">
        <f t="shared" si="21"/>
        <v>Success</v>
      </c>
    </row>
    <row r="482" spans="1:19" x14ac:dyDescent="0.3">
      <c r="A482" t="s">
        <v>547</v>
      </c>
      <c r="B482" s="1">
        <v>44957</v>
      </c>
      <c r="C482">
        <v>2022</v>
      </c>
      <c r="D482" s="2" t="s">
        <v>25</v>
      </c>
      <c r="E482" s="2" t="s">
        <v>87</v>
      </c>
      <c r="F482" s="2" t="s">
        <v>38</v>
      </c>
      <c r="G482" t="s">
        <v>39</v>
      </c>
      <c r="H482" s="3">
        <v>21.11</v>
      </c>
      <c r="I482" s="3">
        <v>91.34</v>
      </c>
      <c r="J482" s="3">
        <v>4326.8500000000004</v>
      </c>
      <c r="K482" s="1" t="s">
        <v>28</v>
      </c>
      <c r="L482" s="2" t="s">
        <v>29</v>
      </c>
      <c r="M482" s="3">
        <v>215.18</v>
      </c>
      <c r="N482" s="3">
        <v>498.87</v>
      </c>
      <c r="O482" s="2" t="s">
        <v>52</v>
      </c>
      <c r="P482" s="3">
        <v>33.450000000000003</v>
      </c>
      <c r="Q482" t="str">
        <f t="shared" si="22"/>
        <v>2023-01</v>
      </c>
      <c r="R482" s="3">
        <f t="shared" si="23"/>
        <v>204.96684036001898</v>
      </c>
      <c r="S482" s="2" t="str">
        <f t="shared" si="21"/>
        <v>Success</v>
      </c>
    </row>
    <row r="483" spans="1:19" x14ac:dyDescent="0.3">
      <c r="A483" t="s">
        <v>548</v>
      </c>
      <c r="B483" s="1">
        <v>42857</v>
      </c>
      <c r="C483">
        <v>2017</v>
      </c>
      <c r="D483" s="2" t="s">
        <v>25</v>
      </c>
      <c r="E483" s="2" t="s">
        <v>69</v>
      </c>
      <c r="F483" s="2" t="s">
        <v>19</v>
      </c>
      <c r="G483" t="s">
        <v>56</v>
      </c>
      <c r="H483" s="3">
        <v>14.85</v>
      </c>
      <c r="I483" s="3">
        <v>32.049999999999997</v>
      </c>
      <c r="J483" s="3">
        <v>2158.56</v>
      </c>
      <c r="K483" s="1" t="s">
        <v>40</v>
      </c>
      <c r="L483" s="2" t="s">
        <v>47</v>
      </c>
      <c r="M483" s="3">
        <v>172.31</v>
      </c>
      <c r="N483" s="3">
        <v>262.99</v>
      </c>
      <c r="O483" s="2" t="s">
        <v>61</v>
      </c>
      <c r="P483" s="3">
        <v>29.65</v>
      </c>
      <c r="Q483" t="str">
        <f t="shared" si="22"/>
        <v>2017-05</v>
      </c>
      <c r="R483" s="3">
        <f t="shared" si="23"/>
        <v>145.35757575757575</v>
      </c>
      <c r="S483" s="2" t="str">
        <f t="shared" si="21"/>
        <v>Success</v>
      </c>
    </row>
    <row r="484" spans="1:19" x14ac:dyDescent="0.3">
      <c r="A484" t="s">
        <v>549</v>
      </c>
      <c r="B484" s="1">
        <v>40467</v>
      </c>
      <c r="C484">
        <v>2010</v>
      </c>
      <c r="D484" s="2" t="s">
        <v>44</v>
      </c>
      <c r="E484" s="2" t="s">
        <v>99</v>
      </c>
      <c r="F484" s="2" t="s">
        <v>33</v>
      </c>
      <c r="G484" t="s">
        <v>20</v>
      </c>
      <c r="H484" s="3">
        <v>6.55</v>
      </c>
      <c r="I484" s="3">
        <v>37.51</v>
      </c>
      <c r="J484" s="3">
        <v>5726.67</v>
      </c>
      <c r="K484" s="1" t="s">
        <v>21</v>
      </c>
      <c r="L484" s="2" t="s">
        <v>41</v>
      </c>
      <c r="M484" s="3">
        <v>151.38</v>
      </c>
      <c r="N484" s="3">
        <v>411.68</v>
      </c>
      <c r="O484" s="2" t="s">
        <v>61</v>
      </c>
      <c r="P484" s="3">
        <v>26.88</v>
      </c>
      <c r="Q484" t="str">
        <f t="shared" si="22"/>
        <v>2010-10</v>
      </c>
      <c r="R484" s="3">
        <f t="shared" si="23"/>
        <v>874.30076335877868</v>
      </c>
      <c r="S484" s="2" t="str">
        <f t="shared" si="21"/>
        <v>Success</v>
      </c>
    </row>
    <row r="485" spans="1:19" x14ac:dyDescent="0.3">
      <c r="A485" t="s">
        <v>550</v>
      </c>
      <c r="B485" s="1">
        <v>41459</v>
      </c>
      <c r="C485">
        <v>2013</v>
      </c>
      <c r="D485" s="2" t="s">
        <v>17</v>
      </c>
      <c r="E485" s="2" t="s">
        <v>54</v>
      </c>
      <c r="F485" s="2" t="s">
        <v>33</v>
      </c>
      <c r="G485" t="s">
        <v>64</v>
      </c>
      <c r="H485" s="3">
        <v>73.81</v>
      </c>
      <c r="I485" s="3">
        <v>290.32</v>
      </c>
      <c r="J485" s="3">
        <v>3933.37</v>
      </c>
      <c r="K485" s="1" t="s">
        <v>21</v>
      </c>
      <c r="L485" s="2" t="s">
        <v>22</v>
      </c>
      <c r="M485" s="3">
        <v>167.8</v>
      </c>
      <c r="N485" s="3">
        <v>1118.02</v>
      </c>
      <c r="O485" s="2" t="s">
        <v>23</v>
      </c>
      <c r="P485" s="3">
        <v>23.64</v>
      </c>
      <c r="Q485" t="str">
        <f t="shared" si="22"/>
        <v>2013-07</v>
      </c>
      <c r="R485" s="3">
        <f t="shared" si="23"/>
        <v>53.290475545319062</v>
      </c>
      <c r="S485" s="2" t="str">
        <f t="shared" si="21"/>
        <v>Success</v>
      </c>
    </row>
    <row r="486" spans="1:19" x14ac:dyDescent="0.3">
      <c r="A486" t="s">
        <v>551</v>
      </c>
      <c r="B486" s="1">
        <v>40539</v>
      </c>
      <c r="C486">
        <v>2010</v>
      </c>
      <c r="D486" s="2" t="s">
        <v>103</v>
      </c>
      <c r="E486" s="2" t="s">
        <v>228</v>
      </c>
      <c r="F486" s="2" t="s">
        <v>38</v>
      </c>
      <c r="G486" t="s">
        <v>64</v>
      </c>
      <c r="H486" s="3">
        <v>46.16</v>
      </c>
      <c r="I486" s="3">
        <v>93.43</v>
      </c>
      <c r="J486" s="3">
        <v>2024.14</v>
      </c>
      <c r="K486" s="1" t="s">
        <v>21</v>
      </c>
      <c r="L486" s="2" t="s">
        <v>22</v>
      </c>
      <c r="M486" s="3">
        <v>254.45</v>
      </c>
      <c r="N486" s="3">
        <v>306.33</v>
      </c>
      <c r="O486" s="2" t="s">
        <v>52</v>
      </c>
      <c r="P486" s="3">
        <v>28.92</v>
      </c>
      <c r="Q486" t="str">
        <f t="shared" si="22"/>
        <v>2010-12</v>
      </c>
      <c r="R486" s="3">
        <f t="shared" si="23"/>
        <v>43.850519930675915</v>
      </c>
      <c r="S486" s="2" t="str">
        <f t="shared" si="21"/>
        <v>Success</v>
      </c>
    </row>
    <row r="487" spans="1:19" x14ac:dyDescent="0.3">
      <c r="A487" t="s">
        <v>552</v>
      </c>
      <c r="B487" s="1">
        <v>42719</v>
      </c>
      <c r="C487">
        <v>2016</v>
      </c>
      <c r="D487" s="2" t="s">
        <v>44</v>
      </c>
      <c r="E487" s="2" t="s">
        <v>45</v>
      </c>
      <c r="F487" s="2" t="s">
        <v>38</v>
      </c>
      <c r="G487" t="s">
        <v>39</v>
      </c>
      <c r="H487" s="3">
        <v>68.16</v>
      </c>
      <c r="I487" s="3">
        <v>200.76</v>
      </c>
      <c r="J487" s="3">
        <v>2945.41</v>
      </c>
      <c r="K487" s="1" t="s">
        <v>40</v>
      </c>
      <c r="L487" s="2" t="s">
        <v>49</v>
      </c>
      <c r="M487" s="3">
        <v>130.4</v>
      </c>
      <c r="N487" s="3">
        <v>1164.69</v>
      </c>
      <c r="O487" s="2" t="s">
        <v>42</v>
      </c>
      <c r="P487" s="3">
        <v>31.46</v>
      </c>
      <c r="Q487" t="str">
        <f t="shared" si="22"/>
        <v>2016-12</v>
      </c>
      <c r="R487" s="3">
        <f t="shared" si="23"/>
        <v>43.213174882629112</v>
      </c>
      <c r="S487" s="2" t="str">
        <f t="shared" si="21"/>
        <v>Success</v>
      </c>
    </row>
    <row r="488" spans="1:19" x14ac:dyDescent="0.3">
      <c r="A488" t="s">
        <v>553</v>
      </c>
      <c r="B488" s="1">
        <v>41887</v>
      </c>
      <c r="C488">
        <v>2014</v>
      </c>
      <c r="D488" s="2" t="s">
        <v>25</v>
      </c>
      <c r="E488" s="2" t="s">
        <v>26</v>
      </c>
      <c r="F488" s="2" t="s">
        <v>33</v>
      </c>
      <c r="G488" t="s">
        <v>46</v>
      </c>
      <c r="H488" s="3">
        <v>17.64</v>
      </c>
      <c r="I488" s="3">
        <v>56.79</v>
      </c>
      <c r="J488" s="3">
        <v>3219.56</v>
      </c>
      <c r="K488" s="1" t="s">
        <v>40</v>
      </c>
      <c r="L488" s="2" t="s">
        <v>41</v>
      </c>
      <c r="M488" s="3">
        <v>159.66999999999999</v>
      </c>
      <c r="N488" s="3">
        <v>1125.68</v>
      </c>
      <c r="O488" s="2" t="s">
        <v>23</v>
      </c>
      <c r="P488" s="3">
        <v>22</v>
      </c>
      <c r="Q488" t="str">
        <f t="shared" si="22"/>
        <v>2014-09</v>
      </c>
      <c r="R488" s="3">
        <f t="shared" si="23"/>
        <v>182.51473922902494</v>
      </c>
      <c r="S488" s="2" t="str">
        <f t="shared" si="21"/>
        <v>Success</v>
      </c>
    </row>
    <row r="489" spans="1:19" x14ac:dyDescent="0.3">
      <c r="A489" t="s">
        <v>554</v>
      </c>
      <c r="B489" s="1">
        <v>40747</v>
      </c>
      <c r="C489">
        <v>2011</v>
      </c>
      <c r="D489" s="2" t="s">
        <v>25</v>
      </c>
      <c r="E489" s="2" t="s">
        <v>87</v>
      </c>
      <c r="F489" s="2" t="s">
        <v>33</v>
      </c>
      <c r="G489" t="s">
        <v>64</v>
      </c>
      <c r="H489" s="3">
        <v>18.760000000000002</v>
      </c>
      <c r="I489" s="3">
        <v>28.79</v>
      </c>
      <c r="J489" s="3">
        <v>1534.85</v>
      </c>
      <c r="K489" s="1" t="s">
        <v>34</v>
      </c>
      <c r="L489" s="2" t="s">
        <v>41</v>
      </c>
      <c r="M489" s="3">
        <v>154.06</v>
      </c>
      <c r="N489" s="3">
        <v>1007.41</v>
      </c>
      <c r="O489" s="2" t="s">
        <v>52</v>
      </c>
      <c r="P489" s="3">
        <v>30.39</v>
      </c>
      <c r="Q489" t="str">
        <f t="shared" si="22"/>
        <v>2011-07</v>
      </c>
      <c r="R489" s="3">
        <f t="shared" si="23"/>
        <v>81.815031982942415</v>
      </c>
      <c r="S489" s="2" t="str">
        <f t="shared" si="21"/>
        <v>Success</v>
      </c>
    </row>
    <row r="490" spans="1:19" x14ac:dyDescent="0.3">
      <c r="A490" t="s">
        <v>555</v>
      </c>
      <c r="B490" s="1">
        <v>43482</v>
      </c>
      <c r="C490">
        <v>2018</v>
      </c>
      <c r="D490" s="2" t="s">
        <v>17</v>
      </c>
      <c r="E490" s="2" t="s">
        <v>72</v>
      </c>
      <c r="F490" s="2" t="s">
        <v>38</v>
      </c>
      <c r="G490" t="s">
        <v>46</v>
      </c>
      <c r="H490" s="3">
        <v>24.69</v>
      </c>
      <c r="I490" s="3">
        <v>50.55</v>
      </c>
      <c r="J490" s="3">
        <v>2047.29</v>
      </c>
      <c r="K490" s="1" t="s">
        <v>21</v>
      </c>
      <c r="L490" s="2" t="s">
        <v>49</v>
      </c>
      <c r="M490" s="3">
        <v>199.07</v>
      </c>
      <c r="N490" s="3">
        <v>917.2</v>
      </c>
      <c r="O490" s="2" t="s">
        <v>61</v>
      </c>
      <c r="P490" s="3">
        <v>34.25</v>
      </c>
      <c r="Q490" t="str">
        <f t="shared" si="22"/>
        <v>2019-01</v>
      </c>
      <c r="R490" s="3">
        <f t="shared" si="23"/>
        <v>82.919805589307401</v>
      </c>
      <c r="S490" s="2" t="str">
        <f t="shared" si="21"/>
        <v>Success</v>
      </c>
    </row>
    <row r="491" spans="1:19" x14ac:dyDescent="0.3">
      <c r="A491" t="s">
        <v>556</v>
      </c>
      <c r="B491" s="1">
        <v>43370</v>
      </c>
      <c r="C491">
        <v>2018</v>
      </c>
      <c r="D491" s="2" t="s">
        <v>36</v>
      </c>
      <c r="E491" s="2" t="s">
        <v>37</v>
      </c>
      <c r="F491" s="2" t="s">
        <v>33</v>
      </c>
      <c r="G491" t="s">
        <v>56</v>
      </c>
      <c r="H491" s="3">
        <v>12.63</v>
      </c>
      <c r="I491" s="3">
        <v>52.81</v>
      </c>
      <c r="J491" s="3">
        <v>4181.1899999999996</v>
      </c>
      <c r="K491" s="1" t="s">
        <v>21</v>
      </c>
      <c r="L491" s="2" t="s">
        <v>41</v>
      </c>
      <c r="M491" s="3">
        <v>204.73</v>
      </c>
      <c r="N491" s="3">
        <v>1062.73</v>
      </c>
      <c r="O491" s="2" t="s">
        <v>61</v>
      </c>
      <c r="P491" s="3">
        <v>27.61</v>
      </c>
      <c r="Q491" t="str">
        <f t="shared" si="22"/>
        <v>2018-09</v>
      </c>
      <c r="R491" s="3">
        <f t="shared" si="23"/>
        <v>331.05225653206645</v>
      </c>
      <c r="S491" s="2" t="str">
        <f t="shared" si="21"/>
        <v>Success</v>
      </c>
    </row>
    <row r="492" spans="1:19" x14ac:dyDescent="0.3">
      <c r="A492" t="s">
        <v>557</v>
      </c>
      <c r="B492" s="1">
        <v>41519</v>
      </c>
      <c r="C492">
        <v>2013</v>
      </c>
      <c r="D492" s="2" t="s">
        <v>31</v>
      </c>
      <c r="E492" s="2" t="s">
        <v>82</v>
      </c>
      <c r="F492" s="2" t="s">
        <v>33</v>
      </c>
      <c r="G492" t="s">
        <v>56</v>
      </c>
      <c r="H492" s="3">
        <v>68.84</v>
      </c>
      <c r="I492" s="3">
        <v>468.9</v>
      </c>
      <c r="J492" s="3">
        <v>6811.44</v>
      </c>
      <c r="K492" s="1" t="s">
        <v>28</v>
      </c>
      <c r="L492" s="2" t="s">
        <v>49</v>
      </c>
      <c r="M492" s="3">
        <v>174.38</v>
      </c>
      <c r="N492" s="3">
        <v>359.76</v>
      </c>
      <c r="O492" s="2" t="s">
        <v>23</v>
      </c>
      <c r="P492" s="3">
        <v>20.81</v>
      </c>
      <c r="Q492" t="str">
        <f t="shared" si="22"/>
        <v>2013-09</v>
      </c>
      <c r="R492" s="3">
        <f t="shared" si="23"/>
        <v>98.945961650203358</v>
      </c>
      <c r="S492" s="2" t="str">
        <f t="shared" si="21"/>
        <v>Success</v>
      </c>
    </row>
    <row r="493" spans="1:19" x14ac:dyDescent="0.3">
      <c r="A493" t="s">
        <v>558</v>
      </c>
      <c r="B493" s="1">
        <v>41951</v>
      </c>
      <c r="C493">
        <v>2014</v>
      </c>
      <c r="D493" s="2" t="s">
        <v>103</v>
      </c>
      <c r="E493" s="2" t="s">
        <v>107</v>
      </c>
      <c r="F493" s="2" t="s">
        <v>38</v>
      </c>
      <c r="G493" t="s">
        <v>27</v>
      </c>
      <c r="H493" s="3">
        <v>80.709999999999994</v>
      </c>
      <c r="I493" s="3">
        <v>447.98</v>
      </c>
      <c r="J493" s="3">
        <v>5550.45</v>
      </c>
      <c r="K493" s="1" t="s">
        <v>21</v>
      </c>
      <c r="L493" s="2" t="s">
        <v>29</v>
      </c>
      <c r="M493" s="3">
        <v>76.11</v>
      </c>
      <c r="N493" s="3">
        <v>252.46</v>
      </c>
      <c r="O493" s="2" t="s">
        <v>61</v>
      </c>
      <c r="P493" s="3">
        <v>22.64</v>
      </c>
      <c r="Q493" t="str">
        <f t="shared" si="22"/>
        <v>2014-11</v>
      </c>
      <c r="R493" s="3">
        <f t="shared" si="23"/>
        <v>68.770288687894933</v>
      </c>
      <c r="S493" s="2" t="str">
        <f t="shared" si="21"/>
        <v>Success</v>
      </c>
    </row>
    <row r="494" spans="1:19" x14ac:dyDescent="0.3">
      <c r="A494" t="s">
        <v>559</v>
      </c>
      <c r="B494" s="1">
        <v>40723</v>
      </c>
      <c r="C494">
        <v>2011</v>
      </c>
      <c r="D494" s="2" t="s">
        <v>59</v>
      </c>
      <c r="E494" s="2" t="s">
        <v>60</v>
      </c>
      <c r="F494" s="2" t="s">
        <v>33</v>
      </c>
      <c r="G494" t="s">
        <v>39</v>
      </c>
      <c r="H494" s="3">
        <v>45.04</v>
      </c>
      <c r="I494" s="3">
        <v>201.71</v>
      </c>
      <c r="J494" s="3">
        <v>4478.57</v>
      </c>
      <c r="K494" s="1" t="s">
        <v>28</v>
      </c>
      <c r="L494" s="2" t="s">
        <v>49</v>
      </c>
      <c r="M494" s="3">
        <v>99.69</v>
      </c>
      <c r="N494" s="3">
        <v>876.85</v>
      </c>
      <c r="O494" s="2" t="s">
        <v>70</v>
      </c>
      <c r="P494" s="3">
        <v>23.45</v>
      </c>
      <c r="Q494" t="str">
        <f t="shared" si="22"/>
        <v>2011-06</v>
      </c>
      <c r="R494" s="3">
        <f t="shared" si="23"/>
        <v>99.43539076376554</v>
      </c>
      <c r="S494" s="2" t="str">
        <f t="shared" si="21"/>
        <v>Success</v>
      </c>
    </row>
    <row r="495" spans="1:19" x14ac:dyDescent="0.3">
      <c r="A495" t="s">
        <v>560</v>
      </c>
      <c r="B495" s="1">
        <v>41374</v>
      </c>
      <c r="C495">
        <v>2013</v>
      </c>
      <c r="D495" s="2" t="s">
        <v>103</v>
      </c>
      <c r="E495" s="2" t="s">
        <v>104</v>
      </c>
      <c r="F495" s="2" t="s">
        <v>19</v>
      </c>
      <c r="G495" t="s">
        <v>46</v>
      </c>
      <c r="H495" s="3">
        <v>87.12</v>
      </c>
      <c r="I495" s="3">
        <v>283.42</v>
      </c>
      <c r="J495" s="3">
        <v>3253.19</v>
      </c>
      <c r="K495" s="1" t="s">
        <v>40</v>
      </c>
      <c r="L495" s="2" t="s">
        <v>41</v>
      </c>
      <c r="M495" s="3">
        <v>68.38</v>
      </c>
      <c r="N495" s="3">
        <v>785.09</v>
      </c>
      <c r="O495" s="2" t="s">
        <v>23</v>
      </c>
      <c r="P495" s="3">
        <v>33.36</v>
      </c>
      <c r="Q495" t="str">
        <f t="shared" si="22"/>
        <v>2013-04</v>
      </c>
      <c r="R495" s="3">
        <f t="shared" si="23"/>
        <v>37.341483011937555</v>
      </c>
      <c r="S495" s="2" t="str">
        <f t="shared" si="21"/>
        <v>Success</v>
      </c>
    </row>
    <row r="496" spans="1:19" x14ac:dyDescent="0.3">
      <c r="A496" t="s">
        <v>561</v>
      </c>
      <c r="B496" s="1">
        <v>41359</v>
      </c>
      <c r="C496">
        <v>2012</v>
      </c>
      <c r="D496" s="2" t="s">
        <v>59</v>
      </c>
      <c r="E496" s="2" t="s">
        <v>63</v>
      </c>
      <c r="F496" s="2" t="s">
        <v>38</v>
      </c>
      <c r="G496" t="s">
        <v>20</v>
      </c>
      <c r="H496" s="3">
        <v>14.5</v>
      </c>
      <c r="I496" s="3">
        <v>77.12</v>
      </c>
      <c r="J496" s="3">
        <v>5318.93</v>
      </c>
      <c r="K496" s="1" t="s">
        <v>34</v>
      </c>
      <c r="L496" s="2" t="s">
        <v>22</v>
      </c>
      <c r="M496" s="3">
        <v>293.89</v>
      </c>
      <c r="N496" s="3">
        <v>402.21</v>
      </c>
      <c r="O496" s="2" t="s">
        <v>42</v>
      </c>
      <c r="P496" s="3">
        <v>20.48</v>
      </c>
      <c r="Q496" t="str">
        <f t="shared" si="22"/>
        <v>2013-03</v>
      </c>
      <c r="R496" s="3">
        <f t="shared" si="23"/>
        <v>366.82275862068968</v>
      </c>
      <c r="S496" s="2" t="str">
        <f t="shared" si="21"/>
        <v>Success</v>
      </c>
    </row>
    <row r="497" spans="1:19" x14ac:dyDescent="0.3">
      <c r="A497" t="s">
        <v>562</v>
      </c>
      <c r="B497" s="1">
        <v>40995</v>
      </c>
      <c r="C497">
        <v>2011</v>
      </c>
      <c r="D497" s="2" t="s">
        <v>31</v>
      </c>
      <c r="E497" s="2" t="s">
        <v>82</v>
      </c>
      <c r="F497" s="2" t="s">
        <v>38</v>
      </c>
      <c r="G497" t="s">
        <v>46</v>
      </c>
      <c r="H497" s="3">
        <v>42.4</v>
      </c>
      <c r="I497" s="3">
        <v>235.83</v>
      </c>
      <c r="J497" s="3">
        <v>5562.04</v>
      </c>
      <c r="K497" s="1" t="s">
        <v>40</v>
      </c>
      <c r="L497" s="2" t="s">
        <v>47</v>
      </c>
      <c r="M497" s="3">
        <v>271.60000000000002</v>
      </c>
      <c r="N497" s="3">
        <v>803.64</v>
      </c>
      <c r="O497" s="2" t="s">
        <v>61</v>
      </c>
      <c r="P497" s="3">
        <v>33.58</v>
      </c>
      <c r="Q497" t="str">
        <f t="shared" si="22"/>
        <v>2012-03</v>
      </c>
      <c r="R497" s="3">
        <f t="shared" si="23"/>
        <v>131.18018867924528</v>
      </c>
      <c r="S497" s="2" t="str">
        <f t="shared" si="21"/>
        <v>Success</v>
      </c>
    </row>
    <row r="498" spans="1:19" x14ac:dyDescent="0.3">
      <c r="A498" t="s">
        <v>563</v>
      </c>
      <c r="B498" s="1">
        <v>40911</v>
      </c>
      <c r="C498">
        <v>2011</v>
      </c>
      <c r="D498" s="2" t="s">
        <v>44</v>
      </c>
      <c r="E498" s="2" t="s">
        <v>45</v>
      </c>
      <c r="F498" s="2" t="s">
        <v>38</v>
      </c>
      <c r="G498" t="s">
        <v>27</v>
      </c>
      <c r="H498" s="3">
        <v>49.43</v>
      </c>
      <c r="I498" s="3">
        <v>344.72</v>
      </c>
      <c r="J498" s="3">
        <v>6973.99</v>
      </c>
      <c r="K498" s="1" t="s">
        <v>28</v>
      </c>
      <c r="L498" s="2" t="s">
        <v>41</v>
      </c>
      <c r="M498" s="3">
        <v>259.25</v>
      </c>
      <c r="N498" s="3">
        <v>479.17</v>
      </c>
      <c r="O498" s="2" t="s">
        <v>52</v>
      </c>
      <c r="P498" s="3">
        <v>31.04</v>
      </c>
      <c r="Q498" t="str">
        <f t="shared" si="22"/>
        <v>2012-01</v>
      </c>
      <c r="R498" s="3">
        <f t="shared" si="23"/>
        <v>141.0882055431924</v>
      </c>
      <c r="S498" s="2" t="str">
        <f t="shared" si="21"/>
        <v>Success</v>
      </c>
    </row>
    <row r="499" spans="1:19" x14ac:dyDescent="0.3">
      <c r="A499" t="s">
        <v>564</v>
      </c>
      <c r="B499" s="1">
        <v>43746</v>
      </c>
      <c r="C499">
        <v>2019</v>
      </c>
      <c r="D499" s="2" t="s">
        <v>31</v>
      </c>
      <c r="E499" s="2" t="s">
        <v>32</v>
      </c>
      <c r="F499" s="2" t="s">
        <v>33</v>
      </c>
      <c r="G499" t="s">
        <v>27</v>
      </c>
      <c r="H499" s="3">
        <v>94.68</v>
      </c>
      <c r="I499" s="3">
        <v>613.77</v>
      </c>
      <c r="J499" s="3">
        <v>6482.53</v>
      </c>
      <c r="K499" s="1" t="s">
        <v>21</v>
      </c>
      <c r="L499" s="2" t="s">
        <v>22</v>
      </c>
      <c r="M499" s="3">
        <v>154.44</v>
      </c>
      <c r="N499" s="3">
        <v>244.22</v>
      </c>
      <c r="O499" s="2" t="s">
        <v>52</v>
      </c>
      <c r="P499" s="3">
        <v>31</v>
      </c>
      <c r="Q499" t="str">
        <f t="shared" si="22"/>
        <v>2019-10</v>
      </c>
      <c r="R499" s="3">
        <f t="shared" si="23"/>
        <v>68.467786227291924</v>
      </c>
      <c r="S499" s="2" t="str">
        <f t="shared" si="21"/>
        <v>Success</v>
      </c>
    </row>
    <row r="500" spans="1:19" x14ac:dyDescent="0.3">
      <c r="A500" t="s">
        <v>565</v>
      </c>
      <c r="B500" s="1">
        <v>42708</v>
      </c>
      <c r="C500">
        <v>2016</v>
      </c>
      <c r="D500" s="2" t="s">
        <v>36</v>
      </c>
      <c r="E500" s="2" t="s">
        <v>77</v>
      </c>
      <c r="F500" s="2" t="s">
        <v>38</v>
      </c>
      <c r="G500" t="s">
        <v>39</v>
      </c>
      <c r="H500" s="3">
        <v>82.31</v>
      </c>
      <c r="I500" s="3">
        <v>305.75</v>
      </c>
      <c r="J500" s="3">
        <v>3714.65</v>
      </c>
      <c r="K500" s="1" t="s">
        <v>40</v>
      </c>
      <c r="L500" s="2" t="s">
        <v>49</v>
      </c>
      <c r="M500" s="3">
        <v>70.77</v>
      </c>
      <c r="N500" s="3">
        <v>953.08</v>
      </c>
      <c r="O500" s="2" t="s">
        <v>52</v>
      </c>
      <c r="P500" s="3">
        <v>34.25</v>
      </c>
      <c r="Q500" t="str">
        <f t="shared" si="22"/>
        <v>2016-12</v>
      </c>
      <c r="R500" s="3">
        <f t="shared" si="23"/>
        <v>45.129996355242376</v>
      </c>
      <c r="S500" s="2" t="str">
        <f t="shared" si="21"/>
        <v>Success</v>
      </c>
    </row>
    <row r="501" spans="1:19" x14ac:dyDescent="0.3">
      <c r="A501" t="s">
        <v>566</v>
      </c>
      <c r="B501" s="1">
        <v>44101</v>
      </c>
      <c r="C501">
        <v>2020</v>
      </c>
      <c r="D501" s="2" t="s">
        <v>31</v>
      </c>
      <c r="E501" s="2" t="s">
        <v>82</v>
      </c>
      <c r="F501" s="2" t="s">
        <v>33</v>
      </c>
      <c r="G501" t="s">
        <v>64</v>
      </c>
      <c r="H501" s="3">
        <v>48.5</v>
      </c>
      <c r="I501" s="3">
        <v>137.21</v>
      </c>
      <c r="J501" s="3">
        <v>2829.02</v>
      </c>
      <c r="K501" s="1" t="s">
        <v>28</v>
      </c>
      <c r="L501" s="2" t="s">
        <v>41</v>
      </c>
      <c r="M501" s="3">
        <v>264.48</v>
      </c>
      <c r="N501" s="3">
        <v>947.29</v>
      </c>
      <c r="O501" s="2" t="s">
        <v>23</v>
      </c>
      <c r="P501" s="3">
        <v>34.65</v>
      </c>
      <c r="Q501" t="str">
        <f t="shared" si="22"/>
        <v>2020-09</v>
      </c>
      <c r="R501" s="3">
        <f t="shared" si="23"/>
        <v>58.330309278350512</v>
      </c>
      <c r="S501" s="2" t="str">
        <f t="shared" si="21"/>
        <v>Success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5B138-DEED-4AE4-9895-17E78A38FE73}">
  <dimension ref="A3:T1004"/>
  <sheetViews>
    <sheetView workbookViewId="0">
      <selection activeCell="D82" sqref="D82"/>
    </sheetView>
  </sheetViews>
  <sheetFormatPr defaultRowHeight="14.4" x14ac:dyDescent="0.3"/>
  <cols>
    <col min="1" max="1" width="12.5546875" bestFit="1" customWidth="1"/>
    <col min="2" max="2" width="18.6640625" bestFit="1" customWidth="1"/>
    <col min="4" max="4" width="12.5546875" bestFit="1" customWidth="1"/>
    <col min="5" max="5" width="18.33203125" bestFit="1" customWidth="1"/>
    <col min="6" max="6" width="7" bestFit="1" customWidth="1"/>
    <col min="7" max="7" width="10.77734375" bestFit="1" customWidth="1"/>
    <col min="8" max="8" width="7.44140625" bestFit="1" customWidth="1"/>
    <col min="9" max="9" width="10.77734375" bestFit="1" customWidth="1"/>
    <col min="10" max="10" width="12.5546875" bestFit="1" customWidth="1"/>
    <col min="11" max="11" width="21.88671875" bestFit="1" customWidth="1"/>
    <col min="13" max="13" width="21.88671875" bestFit="1" customWidth="1"/>
    <col min="14" max="14" width="15.5546875" bestFit="1" customWidth="1"/>
    <col min="15" max="17" width="7.5546875" bestFit="1" customWidth="1"/>
    <col min="18" max="18" width="9.77734375" bestFit="1" customWidth="1"/>
    <col min="19" max="19" width="7.5546875" bestFit="1" customWidth="1"/>
    <col min="20" max="20" width="10.77734375" bestFit="1" customWidth="1"/>
  </cols>
  <sheetData>
    <row r="3" spans="1:20" x14ac:dyDescent="0.3">
      <c r="A3" s="4" t="s">
        <v>569</v>
      </c>
      <c r="B3" t="s">
        <v>571</v>
      </c>
      <c r="D3" s="4" t="s">
        <v>569</v>
      </c>
      <c r="E3" t="s">
        <v>571</v>
      </c>
      <c r="J3" s="4" t="s">
        <v>569</v>
      </c>
      <c r="K3" t="s">
        <v>720</v>
      </c>
      <c r="M3" s="4" t="s">
        <v>720</v>
      </c>
      <c r="N3" s="4" t="s">
        <v>719</v>
      </c>
    </row>
    <row r="4" spans="1:20" x14ac:dyDescent="0.3">
      <c r="A4" s="5" t="s">
        <v>59</v>
      </c>
      <c r="B4" s="3">
        <v>305326.59999999992</v>
      </c>
      <c r="D4" s="5" t="s">
        <v>46</v>
      </c>
      <c r="E4" s="3">
        <v>369758.25000000006</v>
      </c>
      <c r="J4" s="6">
        <v>201.46</v>
      </c>
      <c r="K4" s="3">
        <v>4249.2700000000004</v>
      </c>
      <c r="M4" s="4" t="s">
        <v>569</v>
      </c>
      <c r="N4" t="s">
        <v>39</v>
      </c>
      <c r="O4" t="s">
        <v>20</v>
      </c>
      <c r="P4" t="s">
        <v>27</v>
      </c>
      <c r="Q4" t="s">
        <v>56</v>
      </c>
      <c r="R4" t="s">
        <v>46</v>
      </c>
      <c r="S4" t="s">
        <v>64</v>
      </c>
      <c r="T4" t="s">
        <v>570</v>
      </c>
    </row>
    <row r="5" spans="1:20" x14ac:dyDescent="0.3">
      <c r="A5" s="5" t="s">
        <v>103</v>
      </c>
      <c r="B5" s="3">
        <v>285242.09999999998</v>
      </c>
      <c r="D5" s="5" t="s">
        <v>39</v>
      </c>
      <c r="E5" s="3">
        <v>352441.94999999995</v>
      </c>
      <c r="J5" s="6">
        <v>202.16</v>
      </c>
      <c r="K5" s="3">
        <v>6187.9</v>
      </c>
      <c r="M5" s="6">
        <v>20.02</v>
      </c>
      <c r="N5" s="3"/>
      <c r="O5" s="3"/>
      <c r="P5" s="3"/>
      <c r="Q5" s="3">
        <v>4753.63</v>
      </c>
      <c r="R5" s="3"/>
      <c r="S5" s="3"/>
      <c r="T5" s="3">
        <v>4753.63</v>
      </c>
    </row>
    <row r="6" spans="1:20" x14ac:dyDescent="0.3">
      <c r="A6" s="5" t="s">
        <v>36</v>
      </c>
      <c r="B6" s="3">
        <v>243159.52999999997</v>
      </c>
      <c r="D6" s="5" t="s">
        <v>27</v>
      </c>
      <c r="E6" s="3">
        <v>351793.8</v>
      </c>
      <c r="J6" s="6">
        <v>202.74</v>
      </c>
      <c r="K6" s="3">
        <v>6462.14</v>
      </c>
      <c r="M6" s="6">
        <v>20.03</v>
      </c>
      <c r="N6" s="3"/>
      <c r="O6" s="3"/>
      <c r="P6" s="3">
        <v>4599.71</v>
      </c>
      <c r="Q6" s="3"/>
      <c r="R6" s="3"/>
      <c r="S6" s="3"/>
      <c r="T6" s="3">
        <v>4599.71</v>
      </c>
    </row>
    <row r="7" spans="1:20" x14ac:dyDescent="0.3">
      <c r="A7" s="5" t="s">
        <v>31</v>
      </c>
      <c r="B7" s="3">
        <v>312625.69000000006</v>
      </c>
      <c r="D7" s="5" t="s">
        <v>64</v>
      </c>
      <c r="E7" s="3">
        <v>344172.02999999991</v>
      </c>
      <c r="J7" s="6">
        <v>208.18</v>
      </c>
      <c r="K7" s="3">
        <v>6057.1</v>
      </c>
      <c r="M7" s="6">
        <v>20.05</v>
      </c>
      <c r="N7" s="3"/>
      <c r="O7" s="3"/>
      <c r="P7" s="3">
        <v>5611.59</v>
      </c>
      <c r="Q7" s="3"/>
      <c r="R7" s="3"/>
      <c r="S7" s="3"/>
      <c r="T7" s="3">
        <v>5611.59</v>
      </c>
    </row>
    <row r="8" spans="1:20" x14ac:dyDescent="0.3">
      <c r="A8" s="5" t="s">
        <v>25</v>
      </c>
      <c r="B8" s="3">
        <v>273696.80999999988</v>
      </c>
      <c r="D8" s="5" t="s">
        <v>20</v>
      </c>
      <c r="E8" s="3">
        <v>292480.14</v>
      </c>
      <c r="J8" s="6">
        <v>210.56</v>
      </c>
      <c r="K8" s="3">
        <v>3194.7</v>
      </c>
      <c r="M8" s="6">
        <v>20.079999999999998</v>
      </c>
      <c r="N8" s="3"/>
      <c r="O8" s="3"/>
      <c r="P8" s="3"/>
      <c r="Q8" s="3">
        <v>1314.95</v>
      </c>
      <c r="R8" s="3"/>
      <c r="S8" s="3">
        <v>3571.05</v>
      </c>
      <c r="T8" s="3">
        <v>2443</v>
      </c>
    </row>
    <row r="9" spans="1:20" x14ac:dyDescent="0.3">
      <c r="A9" s="5" t="s">
        <v>17</v>
      </c>
      <c r="B9" s="3">
        <v>286474.08999999991</v>
      </c>
      <c r="D9" s="5" t="s">
        <v>56</v>
      </c>
      <c r="E9" s="3">
        <v>286707.73</v>
      </c>
      <c r="J9" s="6">
        <v>210.58</v>
      </c>
      <c r="K9" s="3">
        <v>5141.67</v>
      </c>
      <c r="M9" s="6">
        <v>20.12</v>
      </c>
      <c r="N9" s="3"/>
      <c r="O9" s="3"/>
      <c r="P9" s="3"/>
      <c r="Q9" s="3">
        <v>1946.48</v>
      </c>
      <c r="R9" s="3"/>
      <c r="S9" s="3">
        <v>6671.94</v>
      </c>
      <c r="T9" s="3">
        <v>4309.21</v>
      </c>
    </row>
    <row r="10" spans="1:20" x14ac:dyDescent="0.3">
      <c r="A10" s="5" t="s">
        <v>44</v>
      </c>
      <c r="B10" s="3">
        <v>290829.0799999999</v>
      </c>
      <c r="D10" s="5" t="s">
        <v>570</v>
      </c>
      <c r="E10" s="3">
        <v>1997353.9</v>
      </c>
      <c r="J10" s="6">
        <v>211.15</v>
      </c>
      <c r="K10" s="3">
        <v>1864.45</v>
      </c>
      <c r="M10" s="6">
        <v>20.149999999999999</v>
      </c>
      <c r="N10" s="3"/>
      <c r="O10" s="3">
        <v>2876.24</v>
      </c>
      <c r="P10" s="3"/>
      <c r="Q10" s="3"/>
      <c r="R10" s="3"/>
      <c r="S10" s="3"/>
      <c r="T10" s="3">
        <v>2876.24</v>
      </c>
    </row>
    <row r="11" spans="1:20" x14ac:dyDescent="0.3">
      <c r="A11" s="5" t="s">
        <v>570</v>
      </c>
      <c r="B11" s="3">
        <v>1997353.8999999994</v>
      </c>
      <c r="J11" s="6">
        <v>212.27</v>
      </c>
      <c r="K11" s="3">
        <v>1757.68</v>
      </c>
      <c r="M11" s="6">
        <v>20.2</v>
      </c>
      <c r="N11" s="3"/>
      <c r="O11" s="3"/>
      <c r="P11" s="3"/>
      <c r="Q11" s="3"/>
      <c r="R11" s="3">
        <v>5207.88</v>
      </c>
      <c r="S11" s="3"/>
      <c r="T11" s="3">
        <v>5207.88</v>
      </c>
    </row>
    <row r="12" spans="1:20" x14ac:dyDescent="0.3">
      <c r="D12" s="4" t="s">
        <v>569</v>
      </c>
      <c r="E12" t="s">
        <v>718</v>
      </c>
      <c r="J12" s="6">
        <v>214.08</v>
      </c>
      <c r="K12" s="3">
        <v>3753.49</v>
      </c>
      <c r="M12" s="6">
        <v>20.21</v>
      </c>
      <c r="N12" s="3"/>
      <c r="O12" s="3"/>
      <c r="P12" s="3">
        <v>3652.87</v>
      </c>
      <c r="Q12" s="3"/>
      <c r="R12" s="3"/>
      <c r="S12" s="3"/>
      <c r="T12" s="3">
        <v>3652.87</v>
      </c>
    </row>
    <row r="13" spans="1:20" x14ac:dyDescent="0.3">
      <c r="A13" s="4" t="s">
        <v>569</v>
      </c>
      <c r="B13" t="s">
        <v>571</v>
      </c>
      <c r="D13" s="5" t="s">
        <v>27</v>
      </c>
      <c r="E13" s="3">
        <v>291.5186733471769</v>
      </c>
      <c r="J13" s="6">
        <v>215.33</v>
      </c>
      <c r="K13" s="3">
        <v>6442.2</v>
      </c>
      <c r="M13" s="6">
        <v>20.27</v>
      </c>
      <c r="N13" s="3">
        <v>6474.69</v>
      </c>
      <c r="O13" s="3"/>
      <c r="P13" s="3"/>
      <c r="Q13" s="3"/>
      <c r="R13" s="3"/>
      <c r="S13" s="3"/>
      <c r="T13" s="3">
        <v>6474.69</v>
      </c>
    </row>
    <row r="14" spans="1:20" x14ac:dyDescent="0.3">
      <c r="A14" s="5" t="s">
        <v>31</v>
      </c>
      <c r="B14" s="3">
        <v>312625.69000000006</v>
      </c>
      <c r="D14" s="5" t="s">
        <v>46</v>
      </c>
      <c r="E14" s="3">
        <v>211.54728930321096</v>
      </c>
      <c r="J14" s="6">
        <v>215.73</v>
      </c>
      <c r="K14" s="3">
        <v>5000.53</v>
      </c>
      <c r="M14" s="6">
        <v>20.3</v>
      </c>
      <c r="N14" s="3">
        <v>2353.5</v>
      </c>
      <c r="O14" s="3"/>
      <c r="P14" s="3"/>
      <c r="Q14" s="3"/>
      <c r="R14" s="3"/>
      <c r="S14" s="3"/>
      <c r="T14" s="3">
        <v>2353.5</v>
      </c>
    </row>
    <row r="15" spans="1:20" x14ac:dyDescent="0.3">
      <c r="A15" s="5" t="s">
        <v>59</v>
      </c>
      <c r="B15" s="3">
        <v>305326.59999999992</v>
      </c>
      <c r="D15" s="5" t="s">
        <v>20</v>
      </c>
      <c r="E15" s="3">
        <v>199.75962465066263</v>
      </c>
      <c r="J15" s="6">
        <v>219.08</v>
      </c>
      <c r="K15" s="3">
        <v>4977.8900000000003</v>
      </c>
      <c r="M15" s="6">
        <v>20.32</v>
      </c>
      <c r="N15" s="3"/>
      <c r="O15" s="3"/>
      <c r="P15" s="3"/>
      <c r="Q15" s="3">
        <v>4350.1000000000004</v>
      </c>
      <c r="R15" s="3"/>
      <c r="S15" s="3"/>
      <c r="T15" s="3">
        <v>4350.1000000000004</v>
      </c>
    </row>
    <row r="16" spans="1:20" x14ac:dyDescent="0.3">
      <c r="A16" s="5" t="s">
        <v>44</v>
      </c>
      <c r="B16" s="3">
        <v>290829.0799999999</v>
      </c>
      <c r="D16" s="5" t="s">
        <v>56</v>
      </c>
      <c r="E16" s="3">
        <v>181.7425703039147</v>
      </c>
      <c r="J16" s="6">
        <v>219.74</v>
      </c>
      <c r="K16" s="3">
        <v>6968.08</v>
      </c>
      <c r="M16" s="6">
        <v>20.350000000000001</v>
      </c>
      <c r="N16" s="3"/>
      <c r="O16" s="3"/>
      <c r="P16" s="3"/>
      <c r="Q16" s="3">
        <v>3761.82</v>
      </c>
      <c r="R16" s="3"/>
      <c r="S16" s="3"/>
      <c r="T16" s="3">
        <v>3761.82</v>
      </c>
    </row>
    <row r="17" spans="1:20" x14ac:dyDescent="0.3">
      <c r="A17" s="5" t="s">
        <v>17</v>
      </c>
      <c r="B17" s="3">
        <v>286474.08999999991</v>
      </c>
      <c r="D17" s="5" t="s">
        <v>64</v>
      </c>
      <c r="E17" s="3">
        <v>177.9670267177658</v>
      </c>
      <c r="J17" s="6">
        <v>220.86</v>
      </c>
      <c r="K17" s="3">
        <v>4840.8500000000004</v>
      </c>
      <c r="M17" s="6">
        <v>20.41</v>
      </c>
      <c r="N17" s="3"/>
      <c r="O17" s="3"/>
      <c r="P17" s="3">
        <v>1981.08</v>
      </c>
      <c r="Q17" s="3"/>
      <c r="R17" s="3"/>
      <c r="S17" s="3"/>
      <c r="T17" s="3">
        <v>1981.08</v>
      </c>
    </row>
    <row r="18" spans="1:20" x14ac:dyDescent="0.3">
      <c r="A18" s="5" t="s">
        <v>103</v>
      </c>
      <c r="B18" s="3">
        <v>285242.09999999998</v>
      </c>
      <c r="D18" s="5" t="s">
        <v>39</v>
      </c>
      <c r="E18" s="3">
        <v>136.37835747124541</v>
      </c>
      <c r="J18" s="6">
        <v>221.91</v>
      </c>
      <c r="K18" s="3">
        <v>5363.01</v>
      </c>
      <c r="M18" s="6">
        <v>20.48</v>
      </c>
      <c r="N18" s="3"/>
      <c r="O18" s="3">
        <v>5318.93</v>
      </c>
      <c r="P18" s="3"/>
      <c r="Q18" s="3"/>
      <c r="R18" s="3"/>
      <c r="S18" s="3"/>
      <c r="T18" s="3">
        <v>5318.93</v>
      </c>
    </row>
    <row r="19" spans="1:20" x14ac:dyDescent="0.3">
      <c r="A19" s="5" t="s">
        <v>25</v>
      </c>
      <c r="B19" s="3">
        <v>273696.80999999988</v>
      </c>
      <c r="D19" s="5" t="s">
        <v>570</v>
      </c>
      <c r="E19" s="3">
        <v>199.32575102035602</v>
      </c>
      <c r="J19" s="6">
        <v>223.7</v>
      </c>
      <c r="K19" s="3">
        <v>5351.5</v>
      </c>
      <c r="M19" s="6">
        <v>20.57</v>
      </c>
      <c r="N19" s="3"/>
      <c r="O19" s="3"/>
      <c r="P19" s="3"/>
      <c r="Q19" s="3">
        <v>4800.93</v>
      </c>
      <c r="R19" s="3"/>
      <c r="S19" s="3"/>
      <c r="T19" s="3">
        <v>4800.93</v>
      </c>
    </row>
    <row r="20" spans="1:20" x14ac:dyDescent="0.3">
      <c r="A20" s="5" t="s">
        <v>36</v>
      </c>
      <c r="B20" s="3">
        <v>243159.52999999997</v>
      </c>
      <c r="J20" s="6">
        <v>228.21</v>
      </c>
      <c r="K20" s="3">
        <v>5428.63</v>
      </c>
      <c r="M20" s="6">
        <v>20.6</v>
      </c>
      <c r="N20" s="3"/>
      <c r="O20" s="3"/>
      <c r="P20" s="3"/>
      <c r="Q20" s="3">
        <v>2240.64</v>
      </c>
      <c r="R20" s="3"/>
      <c r="S20" s="3"/>
      <c r="T20" s="3">
        <v>2240.64</v>
      </c>
    </row>
    <row r="21" spans="1:20" x14ac:dyDescent="0.3">
      <c r="A21" s="5" t="s">
        <v>570</v>
      </c>
      <c r="B21" s="3">
        <v>1997353.8999999994</v>
      </c>
      <c r="D21" s="4" t="s">
        <v>569</v>
      </c>
      <c r="E21" t="s">
        <v>718</v>
      </c>
      <c r="J21" s="6">
        <v>231.27</v>
      </c>
      <c r="K21" s="3">
        <v>1400.08</v>
      </c>
      <c r="M21" s="6">
        <v>20.61</v>
      </c>
      <c r="N21" s="3"/>
      <c r="O21" s="3"/>
      <c r="P21" s="3"/>
      <c r="Q21" s="3">
        <v>2074.87</v>
      </c>
      <c r="R21" s="3"/>
      <c r="S21" s="3"/>
      <c r="T21" s="3">
        <v>2074.87</v>
      </c>
    </row>
    <row r="22" spans="1:20" x14ac:dyDescent="0.3">
      <c r="D22" s="5" t="s">
        <v>29</v>
      </c>
      <c r="E22" s="3">
        <v>225.98669498752622</v>
      </c>
      <c r="J22" s="6">
        <v>239.25</v>
      </c>
      <c r="K22" s="3">
        <v>2474.33</v>
      </c>
      <c r="M22" s="6">
        <v>20.64</v>
      </c>
      <c r="N22" s="3"/>
      <c r="O22" s="3">
        <v>2838.98</v>
      </c>
      <c r="P22" s="3"/>
      <c r="Q22" s="3"/>
      <c r="R22" s="3"/>
      <c r="S22" s="3"/>
      <c r="T22" s="3">
        <v>2838.98</v>
      </c>
    </row>
    <row r="23" spans="1:20" x14ac:dyDescent="0.3">
      <c r="A23" s="4" t="s">
        <v>569</v>
      </c>
      <c r="B23" t="s">
        <v>717</v>
      </c>
      <c r="D23" s="5" t="s">
        <v>41</v>
      </c>
      <c r="E23" s="3">
        <v>184.65670780267425</v>
      </c>
      <c r="J23" s="6">
        <v>243.14</v>
      </c>
      <c r="K23" s="3">
        <v>4544.75</v>
      </c>
      <c r="M23" s="6">
        <v>20.67</v>
      </c>
      <c r="N23" s="3">
        <v>3618.36</v>
      </c>
      <c r="O23" s="3"/>
      <c r="P23" s="3"/>
      <c r="Q23" s="3"/>
      <c r="R23" s="3"/>
      <c r="S23" s="3"/>
      <c r="T23" s="3">
        <v>3618.36</v>
      </c>
    </row>
    <row r="24" spans="1:20" x14ac:dyDescent="0.3">
      <c r="A24" s="5" t="s">
        <v>572</v>
      </c>
      <c r="B24" s="3">
        <v>1915.5046735206677</v>
      </c>
      <c r="D24" s="5" t="s">
        <v>49</v>
      </c>
      <c r="E24" s="3">
        <v>165.24698026268604</v>
      </c>
      <c r="J24" s="6">
        <v>244.22</v>
      </c>
      <c r="K24" s="3">
        <v>6482.53</v>
      </c>
      <c r="M24" s="6">
        <v>20.68</v>
      </c>
      <c r="N24" s="3"/>
      <c r="O24" s="3">
        <v>5039.79</v>
      </c>
      <c r="P24" s="3"/>
      <c r="Q24" s="3"/>
      <c r="R24" s="3"/>
      <c r="S24" s="3"/>
      <c r="T24" s="3">
        <v>5039.79</v>
      </c>
    </row>
    <row r="25" spans="1:20" x14ac:dyDescent="0.3">
      <c r="A25" s="5" t="s">
        <v>573</v>
      </c>
      <c r="B25" s="3">
        <v>866.00307488808812</v>
      </c>
      <c r="D25" s="5" t="s">
        <v>22</v>
      </c>
      <c r="E25" s="3">
        <v>228.90486165331899</v>
      </c>
      <c r="J25" s="6">
        <v>245.29</v>
      </c>
      <c r="K25" s="3">
        <v>1018.09</v>
      </c>
      <c r="M25" s="6">
        <v>20.69</v>
      </c>
      <c r="N25" s="3"/>
      <c r="O25" s="3">
        <v>1783.57</v>
      </c>
      <c r="P25" s="3"/>
      <c r="Q25" s="3"/>
      <c r="R25" s="3"/>
      <c r="S25" s="3">
        <v>5334.48</v>
      </c>
      <c r="T25" s="3">
        <v>3559.0249999999996</v>
      </c>
    </row>
    <row r="26" spans="1:20" x14ac:dyDescent="0.3">
      <c r="A26" s="5" t="s">
        <v>574</v>
      </c>
      <c r="B26" s="3">
        <v>111.24199775221837</v>
      </c>
      <c r="D26" s="5" t="s">
        <v>47</v>
      </c>
      <c r="E26" s="3">
        <v>191.74394369561313</v>
      </c>
      <c r="J26" s="6">
        <v>245.82</v>
      </c>
      <c r="K26" s="3">
        <v>6170.24</v>
      </c>
      <c r="M26" s="6">
        <v>20.7</v>
      </c>
      <c r="N26" s="3"/>
      <c r="O26" s="3"/>
      <c r="P26" s="3"/>
      <c r="Q26" s="3">
        <v>2650.92</v>
      </c>
      <c r="R26" s="3"/>
      <c r="S26" s="3"/>
      <c r="T26" s="3">
        <v>2650.92</v>
      </c>
    </row>
    <row r="27" spans="1:20" x14ac:dyDescent="0.3">
      <c r="A27" s="5" t="s">
        <v>575</v>
      </c>
      <c r="B27" s="3">
        <v>361.55410285004962</v>
      </c>
      <c r="D27" s="5" t="s">
        <v>570</v>
      </c>
      <c r="E27" s="3">
        <v>199.32575102035608</v>
      </c>
      <c r="J27" s="6">
        <v>250.35</v>
      </c>
      <c r="K27" s="3">
        <v>2923.8</v>
      </c>
      <c r="M27" s="6">
        <v>20.73</v>
      </c>
      <c r="N27" s="3"/>
      <c r="O27" s="3"/>
      <c r="P27" s="3">
        <v>6293.01</v>
      </c>
      <c r="Q27" s="3"/>
      <c r="R27" s="3"/>
      <c r="S27" s="3"/>
      <c r="T27" s="3">
        <v>6293.01</v>
      </c>
    </row>
    <row r="28" spans="1:20" x14ac:dyDescent="0.3">
      <c r="A28" s="5" t="s">
        <v>576</v>
      </c>
      <c r="B28" s="3">
        <v>136.95400638538868</v>
      </c>
      <c r="J28" s="6">
        <v>252.46</v>
      </c>
      <c r="K28" s="3">
        <v>5550.45</v>
      </c>
      <c r="M28" s="6">
        <v>20.74</v>
      </c>
      <c r="N28" s="3"/>
      <c r="O28" s="3"/>
      <c r="P28" s="3">
        <v>3410.32</v>
      </c>
      <c r="Q28" s="3"/>
      <c r="R28" s="3"/>
      <c r="S28" s="3"/>
      <c r="T28" s="3">
        <v>3410.32</v>
      </c>
    </row>
    <row r="29" spans="1:20" x14ac:dyDescent="0.3">
      <c r="A29" s="5" t="s">
        <v>577</v>
      </c>
      <c r="B29" s="3">
        <v>874.30076335877868</v>
      </c>
      <c r="D29" s="4" t="s">
        <v>718</v>
      </c>
      <c r="E29" s="4" t="s">
        <v>719</v>
      </c>
      <c r="J29" s="6">
        <v>253.8</v>
      </c>
      <c r="K29" s="3">
        <v>5728.67</v>
      </c>
      <c r="M29" s="6">
        <v>20.81</v>
      </c>
      <c r="N29" s="3"/>
      <c r="O29" s="3">
        <v>6906.37</v>
      </c>
      <c r="P29" s="3"/>
      <c r="Q29" s="3">
        <v>6811.44</v>
      </c>
      <c r="R29" s="3"/>
      <c r="S29" s="3"/>
      <c r="T29" s="3">
        <v>6858.9049999999997</v>
      </c>
    </row>
    <row r="30" spans="1:20" x14ac:dyDescent="0.3">
      <c r="A30" s="5" t="s">
        <v>578</v>
      </c>
      <c r="B30" s="3">
        <v>795.98811895157951</v>
      </c>
      <c r="D30" s="4" t="s">
        <v>569</v>
      </c>
      <c r="E30" t="s">
        <v>40</v>
      </c>
      <c r="F30" t="s">
        <v>21</v>
      </c>
      <c r="G30" t="s">
        <v>28</v>
      </c>
      <c r="H30" t="s">
        <v>34</v>
      </c>
      <c r="I30" t="s">
        <v>570</v>
      </c>
      <c r="J30" s="6">
        <v>254.54</v>
      </c>
      <c r="K30" s="3">
        <v>1935.95</v>
      </c>
      <c r="M30" s="6">
        <v>20.82</v>
      </c>
      <c r="N30" s="3"/>
      <c r="O30" s="3"/>
      <c r="P30" s="3"/>
      <c r="Q30" s="3">
        <v>4982.26</v>
      </c>
      <c r="R30" s="3"/>
      <c r="S30" s="3"/>
      <c r="T30" s="3">
        <v>4982.26</v>
      </c>
    </row>
    <row r="31" spans="1:20" x14ac:dyDescent="0.3">
      <c r="A31" s="5" t="s">
        <v>579</v>
      </c>
      <c r="B31" s="3">
        <v>349.138057661429</v>
      </c>
      <c r="D31" s="5" t="s">
        <v>29</v>
      </c>
      <c r="E31" s="3">
        <v>137.12095421562711</v>
      </c>
      <c r="F31" s="3">
        <v>363.04245638379166</v>
      </c>
      <c r="G31" s="3">
        <v>151.92122654340366</v>
      </c>
      <c r="H31" s="3">
        <v>250.44172027007102</v>
      </c>
      <c r="I31" s="3">
        <v>225.98669498752616</v>
      </c>
      <c r="J31" s="6">
        <v>258.01</v>
      </c>
      <c r="K31" s="3">
        <v>4786.2</v>
      </c>
      <c r="M31" s="6">
        <v>20.85</v>
      </c>
      <c r="N31" s="3"/>
      <c r="O31" s="3"/>
      <c r="P31" s="3"/>
      <c r="Q31" s="3"/>
      <c r="R31" s="3">
        <v>5351.5</v>
      </c>
      <c r="S31" s="3"/>
      <c r="T31" s="3">
        <v>5351.5</v>
      </c>
    </row>
    <row r="32" spans="1:20" x14ac:dyDescent="0.3">
      <c r="A32" s="5" t="s">
        <v>580</v>
      </c>
      <c r="B32" s="3">
        <v>100.69991687448048</v>
      </c>
      <c r="D32" s="5" t="s">
        <v>41</v>
      </c>
      <c r="E32" s="3">
        <v>171.18955651406793</v>
      </c>
      <c r="F32" s="3">
        <v>167.42132246222366</v>
      </c>
      <c r="G32" s="3">
        <v>284.5981462247463</v>
      </c>
      <c r="H32" s="3">
        <v>139.02873526707805</v>
      </c>
      <c r="I32" s="3">
        <v>184.65670780267425</v>
      </c>
      <c r="J32" s="6">
        <v>258.48</v>
      </c>
      <c r="K32" s="3">
        <v>1928.78</v>
      </c>
      <c r="M32" s="6">
        <v>20.87</v>
      </c>
      <c r="N32" s="3"/>
      <c r="O32" s="3"/>
      <c r="P32" s="3">
        <v>4518.62</v>
      </c>
      <c r="Q32" s="3"/>
      <c r="R32" s="3"/>
      <c r="S32" s="3"/>
      <c r="T32" s="3">
        <v>4518.62</v>
      </c>
    </row>
    <row r="33" spans="1:20" x14ac:dyDescent="0.3">
      <c r="A33" s="5" t="s">
        <v>581</v>
      </c>
      <c r="B33" s="3">
        <v>792.98279547830612</v>
      </c>
      <c r="D33" s="5" t="s">
        <v>49</v>
      </c>
      <c r="E33" s="3">
        <v>148.57640841749449</v>
      </c>
      <c r="F33" s="3">
        <v>167.24384472395985</v>
      </c>
      <c r="G33" s="3">
        <v>108.51244314394343</v>
      </c>
      <c r="H33" s="3">
        <v>211.46326227736031</v>
      </c>
      <c r="I33" s="3">
        <v>165.24698026268604</v>
      </c>
      <c r="J33" s="6">
        <v>259.16000000000003</v>
      </c>
      <c r="K33" s="3">
        <v>6783.48</v>
      </c>
      <c r="M33" s="6">
        <v>20.88</v>
      </c>
      <c r="N33" s="3"/>
      <c r="O33" s="3">
        <v>2913.27</v>
      </c>
      <c r="P33" s="3"/>
      <c r="Q33" s="3"/>
      <c r="R33" s="3"/>
      <c r="S33" s="3"/>
      <c r="T33" s="3">
        <v>2913.27</v>
      </c>
    </row>
    <row r="34" spans="1:20" x14ac:dyDescent="0.3">
      <c r="A34" s="5" t="s">
        <v>582</v>
      </c>
      <c r="B34" s="3">
        <v>532.31152401723853</v>
      </c>
      <c r="D34" s="5" t="s">
        <v>22</v>
      </c>
      <c r="E34" s="3">
        <v>332.49028746378099</v>
      </c>
      <c r="F34" s="3">
        <v>167.65492005942491</v>
      </c>
      <c r="G34" s="3">
        <v>75.41770028843942</v>
      </c>
      <c r="H34" s="3">
        <v>374.41447527503459</v>
      </c>
      <c r="I34" s="3">
        <v>228.90486165331896</v>
      </c>
      <c r="J34" s="6">
        <v>260.11</v>
      </c>
      <c r="K34" s="3">
        <v>1110.33</v>
      </c>
      <c r="M34" s="6">
        <v>20.89</v>
      </c>
      <c r="N34" s="3"/>
      <c r="O34" s="3"/>
      <c r="P34" s="3"/>
      <c r="Q34" s="3">
        <v>4267.37</v>
      </c>
      <c r="R34" s="3"/>
      <c r="S34" s="3"/>
      <c r="T34" s="3">
        <v>4267.37</v>
      </c>
    </row>
    <row r="35" spans="1:20" x14ac:dyDescent="0.3">
      <c r="A35" s="5" t="s">
        <v>583</v>
      </c>
      <c r="B35" s="3">
        <v>4704.3537041253048</v>
      </c>
      <c r="D35" s="5" t="s">
        <v>47</v>
      </c>
      <c r="E35" s="3">
        <v>134.10333524188249</v>
      </c>
      <c r="F35" s="3">
        <v>229.31147238432087</v>
      </c>
      <c r="G35" s="3">
        <v>247.10458558234362</v>
      </c>
      <c r="H35" s="3">
        <v>135.52928340774841</v>
      </c>
      <c r="I35" s="3">
        <v>191.74394369561324</v>
      </c>
      <c r="J35" s="6">
        <v>262.99</v>
      </c>
      <c r="K35" s="3">
        <v>2158.56</v>
      </c>
      <c r="M35" s="6">
        <v>20.9</v>
      </c>
      <c r="N35" s="3"/>
      <c r="O35" s="3"/>
      <c r="P35" s="3"/>
      <c r="Q35" s="3">
        <v>1548.41</v>
      </c>
      <c r="R35" s="3"/>
      <c r="S35" s="3"/>
      <c r="T35" s="3">
        <v>1548.41</v>
      </c>
    </row>
    <row r="36" spans="1:20" x14ac:dyDescent="0.3">
      <c r="A36" s="5" t="s">
        <v>584</v>
      </c>
      <c r="B36" s="3">
        <v>718.31237746124521</v>
      </c>
      <c r="D36" s="5" t="s">
        <v>570</v>
      </c>
      <c r="E36" s="3">
        <v>187.79523947230834</v>
      </c>
      <c r="F36" s="3">
        <v>220.35069306909324</v>
      </c>
      <c r="G36" s="3">
        <v>172.59450637760679</v>
      </c>
      <c r="H36" s="3">
        <v>215.77496998956863</v>
      </c>
      <c r="I36" s="3">
        <v>199.32575102035594</v>
      </c>
      <c r="J36" s="6">
        <v>267.52999999999997</v>
      </c>
      <c r="K36" s="3">
        <v>5576.36</v>
      </c>
      <c r="M36" s="6">
        <v>20.91</v>
      </c>
      <c r="N36" s="3">
        <v>3468.8150000000001</v>
      </c>
      <c r="O36" s="3"/>
      <c r="P36" s="3"/>
      <c r="Q36" s="3"/>
      <c r="R36" s="3"/>
      <c r="S36" s="3"/>
      <c r="T36" s="3">
        <v>3468.8150000000001</v>
      </c>
    </row>
    <row r="37" spans="1:20" x14ac:dyDescent="0.3">
      <c r="A37" s="5" t="s">
        <v>585</v>
      </c>
      <c r="B37" s="3">
        <v>971.15892413368874</v>
      </c>
      <c r="J37" s="6">
        <v>267.56</v>
      </c>
      <c r="K37" s="3">
        <v>3239.81</v>
      </c>
      <c r="M37" s="6">
        <v>20.93</v>
      </c>
      <c r="N37" s="3">
        <v>2283.7199999999998</v>
      </c>
      <c r="O37" s="3">
        <v>5337.3</v>
      </c>
      <c r="P37" s="3"/>
      <c r="Q37" s="3"/>
      <c r="R37" s="3"/>
      <c r="S37" s="3"/>
      <c r="T37" s="3">
        <v>3810.51</v>
      </c>
    </row>
    <row r="38" spans="1:20" x14ac:dyDescent="0.3">
      <c r="A38" s="5" t="s">
        <v>586</v>
      </c>
      <c r="B38" s="3">
        <v>184.60200653872155</v>
      </c>
      <c r="D38" s="4" t="s">
        <v>569</v>
      </c>
      <c r="E38" t="s">
        <v>721</v>
      </c>
      <c r="J38" s="6">
        <v>267.83999999999997</v>
      </c>
      <c r="K38" s="3">
        <v>2207.12</v>
      </c>
      <c r="M38" s="6">
        <v>20.99</v>
      </c>
      <c r="N38" s="3"/>
      <c r="O38" s="3"/>
      <c r="P38" s="3">
        <v>4464.3900000000003</v>
      </c>
      <c r="Q38" s="3"/>
      <c r="R38" s="3"/>
      <c r="S38" s="3"/>
      <c r="T38" s="3">
        <v>4464.3900000000003</v>
      </c>
    </row>
    <row r="39" spans="1:20" x14ac:dyDescent="0.3">
      <c r="A39" s="5" t="s">
        <v>587</v>
      </c>
      <c r="B39" s="3">
        <v>72.647043013175818</v>
      </c>
      <c r="D39" s="5" t="s">
        <v>45</v>
      </c>
      <c r="E39" s="3">
        <v>6380.4999999999991</v>
      </c>
      <c r="J39" s="6">
        <v>268.52</v>
      </c>
      <c r="K39" s="3">
        <v>6764.67</v>
      </c>
      <c r="M39" s="6">
        <v>21.02</v>
      </c>
      <c r="N39" s="3"/>
      <c r="O39" s="3"/>
      <c r="P39" s="3"/>
      <c r="Q39" s="3"/>
      <c r="R39" s="3"/>
      <c r="S39" s="3">
        <v>5009.29</v>
      </c>
      <c r="T39" s="3">
        <v>5009.29</v>
      </c>
    </row>
    <row r="40" spans="1:20" x14ac:dyDescent="0.3">
      <c r="A40" s="5" t="s">
        <v>588</v>
      </c>
      <c r="B40" s="3">
        <v>1211.9706438118185</v>
      </c>
      <c r="D40" s="5" t="s">
        <v>32</v>
      </c>
      <c r="E40" s="3">
        <v>5419.2099999999991</v>
      </c>
      <c r="J40" s="6">
        <v>270.92</v>
      </c>
      <c r="K40" s="3">
        <v>5780.55</v>
      </c>
      <c r="M40" s="6">
        <v>21.04</v>
      </c>
      <c r="N40" s="3"/>
      <c r="O40" s="3"/>
      <c r="P40" s="3"/>
      <c r="Q40" s="3"/>
      <c r="R40" s="3">
        <v>6975.75</v>
      </c>
      <c r="S40" s="3"/>
      <c r="T40" s="3">
        <v>6975.75</v>
      </c>
    </row>
    <row r="41" spans="1:20" x14ac:dyDescent="0.3">
      <c r="A41" s="5" t="s">
        <v>589</v>
      </c>
      <c r="B41" s="3">
        <v>318.46522482516428</v>
      </c>
      <c r="D41" s="5" t="s">
        <v>72</v>
      </c>
      <c r="E41" s="3">
        <v>5193.6599999999989</v>
      </c>
      <c r="J41" s="6">
        <v>273.52999999999997</v>
      </c>
      <c r="K41" s="3">
        <v>4370.8999999999996</v>
      </c>
      <c r="M41" s="6">
        <v>21.06</v>
      </c>
      <c r="N41" s="3"/>
      <c r="O41" s="3"/>
      <c r="P41" s="3">
        <v>1425.96</v>
      </c>
      <c r="Q41" s="3"/>
      <c r="R41" s="3"/>
      <c r="S41" s="3"/>
      <c r="T41" s="3">
        <v>1425.96</v>
      </c>
    </row>
    <row r="42" spans="1:20" x14ac:dyDescent="0.3">
      <c r="A42" s="5" t="s">
        <v>590</v>
      </c>
      <c r="B42" s="3">
        <v>501.55550252447858</v>
      </c>
      <c r="D42" s="5" t="s">
        <v>87</v>
      </c>
      <c r="E42" s="3">
        <v>4975.8000000000011</v>
      </c>
      <c r="J42" s="6">
        <v>274.69</v>
      </c>
      <c r="K42" s="3">
        <v>2957.51</v>
      </c>
      <c r="M42" s="6">
        <v>21.07</v>
      </c>
      <c r="N42" s="3"/>
      <c r="O42" s="3"/>
      <c r="P42" s="3"/>
      <c r="Q42" s="3"/>
      <c r="R42" s="3">
        <v>3819.47</v>
      </c>
      <c r="S42" s="3"/>
      <c r="T42" s="3">
        <v>3819.47</v>
      </c>
    </row>
    <row r="43" spans="1:20" x14ac:dyDescent="0.3">
      <c r="A43" s="5" t="s">
        <v>591</v>
      </c>
      <c r="B43" s="3">
        <v>182.87008540498982</v>
      </c>
      <c r="D43" s="5" t="s">
        <v>63</v>
      </c>
      <c r="E43" s="3">
        <v>4775.4900000000007</v>
      </c>
      <c r="J43" s="6">
        <v>274.99</v>
      </c>
      <c r="K43" s="3">
        <v>4868.1099999999997</v>
      </c>
      <c r="M43" s="6">
        <v>21.09</v>
      </c>
      <c r="N43" s="3"/>
      <c r="O43" s="3"/>
      <c r="P43" s="3"/>
      <c r="Q43" s="3"/>
      <c r="R43" s="3"/>
      <c r="S43" s="3">
        <v>4752.2</v>
      </c>
      <c r="T43" s="3">
        <v>4752.2</v>
      </c>
    </row>
    <row r="44" spans="1:20" x14ac:dyDescent="0.3">
      <c r="A44" s="5" t="s">
        <v>592</v>
      </c>
      <c r="B44" s="3">
        <v>830.48275516115507</v>
      </c>
      <c r="D44" s="5" t="s">
        <v>104</v>
      </c>
      <c r="E44" s="3">
        <v>4763.9799999999996</v>
      </c>
      <c r="J44" s="6">
        <v>277.89</v>
      </c>
      <c r="K44" s="3">
        <v>2489.58</v>
      </c>
      <c r="M44" s="6">
        <v>21.1</v>
      </c>
      <c r="N44" s="3"/>
      <c r="O44" s="3">
        <v>6614.41</v>
      </c>
      <c r="P44" s="3"/>
      <c r="Q44" s="3"/>
      <c r="R44" s="3"/>
      <c r="S44" s="3"/>
      <c r="T44" s="3">
        <v>6614.41</v>
      </c>
    </row>
    <row r="45" spans="1:20" x14ac:dyDescent="0.3">
      <c r="A45" s="5" t="s">
        <v>593</v>
      </c>
      <c r="B45" s="3">
        <v>262.67406282657345</v>
      </c>
      <c r="D45" s="5" t="s">
        <v>82</v>
      </c>
      <c r="E45" s="3">
        <v>4714.74</v>
      </c>
      <c r="J45" s="6">
        <v>287.7</v>
      </c>
      <c r="K45" s="3">
        <v>6028.09</v>
      </c>
      <c r="M45" s="6">
        <v>21.18</v>
      </c>
      <c r="N45" s="3"/>
      <c r="O45" s="3"/>
      <c r="P45" s="3"/>
      <c r="Q45" s="3"/>
      <c r="R45" s="3">
        <v>6906.21</v>
      </c>
      <c r="S45" s="3"/>
      <c r="T45" s="3">
        <v>6906.21</v>
      </c>
    </row>
    <row r="46" spans="1:20" x14ac:dyDescent="0.3">
      <c r="A46" s="5" t="s">
        <v>594</v>
      </c>
      <c r="B46" s="3">
        <v>460.28759761440949</v>
      </c>
      <c r="D46" s="5" t="s">
        <v>54</v>
      </c>
      <c r="E46" s="3">
        <v>4506.9699999999993</v>
      </c>
      <c r="J46" s="6">
        <v>291.2</v>
      </c>
      <c r="K46" s="3">
        <v>4753.63</v>
      </c>
      <c r="M46" s="6">
        <v>21.36</v>
      </c>
      <c r="N46" s="3"/>
      <c r="O46" s="3"/>
      <c r="P46" s="3">
        <v>5884.4</v>
      </c>
      <c r="Q46" s="3"/>
      <c r="R46" s="3"/>
      <c r="S46" s="3"/>
      <c r="T46" s="3">
        <v>5884.4</v>
      </c>
    </row>
    <row r="47" spans="1:20" x14ac:dyDescent="0.3">
      <c r="A47" s="5" t="s">
        <v>595</v>
      </c>
      <c r="B47" s="3">
        <v>172.34906959742972</v>
      </c>
      <c r="D47" s="5" t="s">
        <v>228</v>
      </c>
      <c r="E47" s="3">
        <v>4391.1099999999997</v>
      </c>
      <c r="J47" s="6">
        <v>293.02999999999997</v>
      </c>
      <c r="K47" s="3">
        <v>6835.36</v>
      </c>
      <c r="M47" s="6">
        <v>21.4</v>
      </c>
      <c r="N47" s="3"/>
      <c r="O47" s="3"/>
      <c r="P47" s="3"/>
      <c r="Q47" s="3">
        <v>4688.49</v>
      </c>
      <c r="R47" s="3"/>
      <c r="S47" s="3">
        <v>3566.8</v>
      </c>
      <c r="T47" s="3">
        <v>4127.6450000000004</v>
      </c>
    </row>
    <row r="48" spans="1:20" x14ac:dyDescent="0.3">
      <c r="A48" s="5" t="s">
        <v>596</v>
      </c>
      <c r="B48" s="3">
        <v>218.17908646352819</v>
      </c>
      <c r="D48" s="5" t="s">
        <v>93</v>
      </c>
      <c r="E48" s="3">
        <v>4245.58</v>
      </c>
      <c r="J48" s="6">
        <v>299.35000000000002</v>
      </c>
      <c r="K48" s="3">
        <v>3660.3</v>
      </c>
      <c r="M48" s="6">
        <v>21.46</v>
      </c>
      <c r="N48" s="3"/>
      <c r="O48" s="3"/>
      <c r="P48" s="3"/>
      <c r="Q48" s="3"/>
      <c r="R48" s="3"/>
      <c r="S48" s="3">
        <v>5783.85</v>
      </c>
      <c r="T48" s="3">
        <v>5783.85</v>
      </c>
    </row>
    <row r="49" spans="1:20" x14ac:dyDescent="0.3">
      <c r="A49" s="5" t="s">
        <v>597</v>
      </c>
      <c r="B49" s="3">
        <v>1654.4755197656766</v>
      </c>
      <c r="D49" s="5" t="s">
        <v>570</v>
      </c>
      <c r="E49" s="3">
        <v>49367.040000000001</v>
      </c>
      <c r="J49" s="6">
        <v>304.11</v>
      </c>
      <c r="K49" s="3">
        <v>2909.3</v>
      </c>
      <c r="M49" s="6">
        <v>21.47</v>
      </c>
      <c r="N49" s="3"/>
      <c r="O49" s="3">
        <v>6246.92</v>
      </c>
      <c r="P49" s="3"/>
      <c r="Q49" s="3"/>
      <c r="R49" s="3"/>
      <c r="S49" s="3"/>
      <c r="T49" s="3">
        <v>6246.92</v>
      </c>
    </row>
    <row r="50" spans="1:20" x14ac:dyDescent="0.3">
      <c r="A50" s="5" t="s">
        <v>598</v>
      </c>
      <c r="B50" s="3">
        <v>381.13741721854302</v>
      </c>
      <c r="J50" s="6">
        <v>306.18</v>
      </c>
      <c r="K50" s="3">
        <v>1784.6</v>
      </c>
      <c r="M50" s="6">
        <v>21.5</v>
      </c>
      <c r="N50" s="3"/>
      <c r="O50" s="3"/>
      <c r="P50" s="3"/>
      <c r="Q50" s="3"/>
      <c r="R50" s="3"/>
      <c r="S50" s="3">
        <v>4483.57</v>
      </c>
      <c r="T50" s="3">
        <v>4483.57</v>
      </c>
    </row>
    <row r="51" spans="1:20" x14ac:dyDescent="0.3">
      <c r="A51" s="5" t="s">
        <v>599</v>
      </c>
      <c r="B51" s="3">
        <v>632.09773952787202</v>
      </c>
      <c r="J51" s="6">
        <v>306.25</v>
      </c>
      <c r="K51" s="3">
        <v>5612.24</v>
      </c>
      <c r="M51" s="6">
        <v>21.6</v>
      </c>
      <c r="N51" s="3"/>
      <c r="O51" s="3"/>
      <c r="P51" s="3"/>
      <c r="Q51" s="3"/>
      <c r="R51" s="3"/>
      <c r="S51" s="3">
        <v>1984.93</v>
      </c>
      <c r="T51" s="3">
        <v>1984.93</v>
      </c>
    </row>
    <row r="52" spans="1:20" x14ac:dyDescent="0.3">
      <c r="A52" s="5" t="s">
        <v>600</v>
      </c>
      <c r="B52" s="3">
        <v>2603.5427213380403</v>
      </c>
      <c r="J52" s="6">
        <v>306.33</v>
      </c>
      <c r="K52" s="3">
        <v>2024.14</v>
      </c>
      <c r="M52" s="6">
        <v>21.64</v>
      </c>
      <c r="N52" s="3">
        <v>2212.41</v>
      </c>
      <c r="O52" s="3"/>
      <c r="P52" s="3"/>
      <c r="Q52" s="3"/>
      <c r="R52" s="3"/>
      <c r="S52" s="3"/>
      <c r="T52" s="3">
        <v>2212.41</v>
      </c>
    </row>
    <row r="53" spans="1:20" x14ac:dyDescent="0.3">
      <c r="A53" s="5" t="s">
        <v>601</v>
      </c>
      <c r="B53" s="3">
        <v>163.04764428470355</v>
      </c>
      <c r="J53" s="6">
        <v>308.22000000000003</v>
      </c>
      <c r="K53" s="3">
        <v>1928.38</v>
      </c>
      <c r="M53" s="6">
        <v>21.71</v>
      </c>
      <c r="N53" s="3"/>
      <c r="O53" s="3"/>
      <c r="P53" s="3"/>
      <c r="Q53" s="3"/>
      <c r="R53" s="3"/>
      <c r="S53" s="3">
        <v>6175.82</v>
      </c>
      <c r="T53" s="3">
        <v>6175.82</v>
      </c>
    </row>
    <row r="54" spans="1:20" x14ac:dyDescent="0.3">
      <c r="A54" s="5" t="s">
        <v>602</v>
      </c>
      <c r="B54" s="3">
        <v>420.47115380029112</v>
      </c>
      <c r="J54" s="6">
        <v>308.57</v>
      </c>
      <c r="K54" s="3">
        <v>1413.06</v>
      </c>
      <c r="M54" s="6">
        <v>21.74</v>
      </c>
      <c r="N54" s="3"/>
      <c r="O54" s="3">
        <v>3402.71</v>
      </c>
      <c r="P54" s="3"/>
      <c r="Q54" s="3"/>
      <c r="R54" s="3"/>
      <c r="S54" s="3"/>
      <c r="T54" s="3">
        <v>3402.71</v>
      </c>
    </row>
    <row r="55" spans="1:20" x14ac:dyDescent="0.3">
      <c r="A55" s="5" t="s">
        <v>603</v>
      </c>
      <c r="B55" s="3">
        <v>719.33818701221981</v>
      </c>
      <c r="J55" s="6">
        <v>314.02</v>
      </c>
      <c r="K55" s="3">
        <v>4599.71</v>
      </c>
      <c r="M55" s="6">
        <v>21.79</v>
      </c>
      <c r="N55" s="3"/>
      <c r="O55" s="3"/>
      <c r="P55" s="3"/>
      <c r="Q55" s="3"/>
      <c r="R55" s="3">
        <v>2489.58</v>
      </c>
      <c r="S55" s="3"/>
      <c r="T55" s="3">
        <v>2489.58</v>
      </c>
    </row>
    <row r="56" spans="1:20" x14ac:dyDescent="0.3">
      <c r="A56" s="5" t="s">
        <v>604</v>
      </c>
      <c r="B56" s="3">
        <v>366.82275862068968</v>
      </c>
      <c r="J56" s="6">
        <v>315.33999999999997</v>
      </c>
      <c r="K56" s="3">
        <v>3398.07</v>
      </c>
      <c r="M56" s="6">
        <v>21.82</v>
      </c>
      <c r="N56" s="3"/>
      <c r="O56" s="3"/>
      <c r="P56" s="3"/>
      <c r="Q56" s="3"/>
      <c r="R56" s="3">
        <v>4300.7299999999996</v>
      </c>
      <c r="S56" s="3"/>
      <c r="T56" s="3">
        <v>4300.7299999999996</v>
      </c>
    </row>
    <row r="57" spans="1:20" x14ac:dyDescent="0.3">
      <c r="A57" s="5" t="s">
        <v>605</v>
      </c>
      <c r="B57" s="3">
        <v>1272.0877341079183</v>
      </c>
      <c r="J57" s="6">
        <v>316.68</v>
      </c>
      <c r="K57" s="3">
        <v>6456.33</v>
      </c>
      <c r="M57" s="6">
        <v>21.83</v>
      </c>
      <c r="N57" s="3"/>
      <c r="O57" s="3"/>
      <c r="P57" s="3"/>
      <c r="Q57" s="3"/>
      <c r="R57" s="3"/>
      <c r="S57" s="3">
        <v>6009.78</v>
      </c>
      <c r="T57" s="3">
        <v>6009.78</v>
      </c>
    </row>
    <row r="58" spans="1:20" x14ac:dyDescent="0.3">
      <c r="A58" s="5" t="s">
        <v>606</v>
      </c>
      <c r="B58" s="3">
        <v>920.62332900784077</v>
      </c>
      <c r="J58" s="6">
        <v>316.83999999999997</v>
      </c>
      <c r="K58" s="3">
        <v>1995.82</v>
      </c>
      <c r="M58" s="6">
        <v>21.85</v>
      </c>
      <c r="N58" s="3"/>
      <c r="O58" s="3"/>
      <c r="P58" s="3"/>
      <c r="Q58" s="3"/>
      <c r="R58" s="3">
        <v>2143.4699999999998</v>
      </c>
      <c r="S58" s="3"/>
      <c r="T58" s="3">
        <v>2143.4699999999998</v>
      </c>
    </row>
    <row r="59" spans="1:20" x14ac:dyDescent="0.3">
      <c r="A59" s="5" t="s">
        <v>607</v>
      </c>
      <c r="B59" s="3">
        <v>135.49085457271363</v>
      </c>
      <c r="J59" s="6">
        <v>318.06</v>
      </c>
      <c r="K59" s="3">
        <v>1761.58</v>
      </c>
      <c r="M59" s="6">
        <v>21.91</v>
      </c>
      <c r="N59" s="3"/>
      <c r="O59" s="3"/>
      <c r="P59" s="3">
        <v>2339.42</v>
      </c>
      <c r="Q59" s="3"/>
      <c r="R59" s="3"/>
      <c r="S59" s="3"/>
      <c r="T59" s="3">
        <v>2339.42</v>
      </c>
    </row>
    <row r="60" spans="1:20" x14ac:dyDescent="0.3">
      <c r="A60" s="5" t="s">
        <v>608</v>
      </c>
      <c r="B60" s="3">
        <v>278.74980094214447</v>
      </c>
      <c r="J60" s="6">
        <v>318.70999999999998</v>
      </c>
      <c r="K60" s="3">
        <v>3688.59</v>
      </c>
      <c r="M60" s="6">
        <v>21.93</v>
      </c>
      <c r="N60" s="3"/>
      <c r="O60" s="3"/>
      <c r="P60" s="3"/>
      <c r="Q60" s="3">
        <v>1024.74</v>
      </c>
      <c r="R60" s="3"/>
      <c r="S60" s="3"/>
      <c r="T60" s="3">
        <v>1024.74</v>
      </c>
    </row>
    <row r="61" spans="1:20" x14ac:dyDescent="0.3">
      <c r="A61" s="5" t="s">
        <v>609</v>
      </c>
      <c r="B61" s="3">
        <v>63.876844238756611</v>
      </c>
      <c r="J61" s="6">
        <v>320.37</v>
      </c>
      <c r="K61" s="3">
        <v>5118.03</v>
      </c>
      <c r="M61" s="6">
        <v>21.98</v>
      </c>
      <c r="N61" s="3"/>
      <c r="O61" s="3">
        <v>1540.8</v>
      </c>
      <c r="P61" s="3"/>
      <c r="Q61" s="3"/>
      <c r="R61" s="3"/>
      <c r="S61" s="3"/>
      <c r="T61" s="3">
        <v>1540.8</v>
      </c>
    </row>
    <row r="62" spans="1:20" x14ac:dyDescent="0.3">
      <c r="A62" s="5" t="s">
        <v>610</v>
      </c>
      <c r="B62" s="3">
        <v>271.64036911454571</v>
      </c>
      <c r="D62" s="4" t="s">
        <v>569</v>
      </c>
      <c r="E62" t="s">
        <v>722</v>
      </c>
      <c r="J62" s="6">
        <v>321.36</v>
      </c>
      <c r="K62" s="3">
        <v>1301.31</v>
      </c>
      <c r="M62" s="6">
        <v>22</v>
      </c>
      <c r="N62" s="3"/>
      <c r="O62" s="3"/>
      <c r="P62" s="3"/>
      <c r="Q62" s="3"/>
      <c r="R62" s="3">
        <v>3219.56</v>
      </c>
      <c r="S62" s="3"/>
      <c r="T62" s="3">
        <v>3219.56</v>
      </c>
    </row>
    <row r="63" spans="1:20" x14ac:dyDescent="0.3">
      <c r="A63" s="5" t="s">
        <v>611</v>
      </c>
      <c r="B63" s="3">
        <v>309.83055754438925</v>
      </c>
      <c r="D63" s="5" t="s">
        <v>40</v>
      </c>
      <c r="E63" s="3">
        <v>5445.6100000000024</v>
      </c>
      <c r="J63" s="6">
        <v>323.54000000000002</v>
      </c>
      <c r="K63" s="3">
        <v>5268.82</v>
      </c>
      <c r="M63" s="6">
        <v>22.04</v>
      </c>
      <c r="N63" s="3">
        <v>2957.51</v>
      </c>
      <c r="O63" s="3"/>
      <c r="P63" s="3"/>
      <c r="Q63" s="3"/>
      <c r="R63" s="3"/>
      <c r="S63" s="3"/>
      <c r="T63" s="3">
        <v>2957.51</v>
      </c>
    </row>
    <row r="64" spans="1:20" x14ac:dyDescent="0.3">
      <c r="A64" s="5" t="s">
        <v>612</v>
      </c>
      <c r="B64" s="3">
        <v>135.17048674437694</v>
      </c>
      <c r="D64" s="5" t="s">
        <v>21</v>
      </c>
      <c r="E64" s="3">
        <v>5846.6100000000006</v>
      </c>
      <c r="J64" s="6">
        <v>323.87</v>
      </c>
      <c r="K64" s="3">
        <v>5941.04</v>
      </c>
      <c r="M64" s="6">
        <v>22.05</v>
      </c>
      <c r="N64" s="3">
        <v>4890.74</v>
      </c>
      <c r="O64" s="3"/>
      <c r="P64" s="3"/>
      <c r="Q64" s="3"/>
      <c r="R64" s="3"/>
      <c r="S64" s="3"/>
      <c r="T64" s="3">
        <v>4890.74</v>
      </c>
    </row>
    <row r="65" spans="1:20" x14ac:dyDescent="0.3">
      <c r="A65" s="5" t="s">
        <v>613</v>
      </c>
      <c r="B65" s="3">
        <v>377.76542002243832</v>
      </c>
      <c r="D65" s="5" t="s">
        <v>28</v>
      </c>
      <c r="E65" s="3">
        <v>6974.4000000000051</v>
      </c>
      <c r="J65" s="6">
        <v>326.19</v>
      </c>
      <c r="K65" s="3">
        <v>6906.21</v>
      </c>
      <c r="M65" s="6">
        <v>22.08</v>
      </c>
      <c r="N65" s="3"/>
      <c r="O65" s="3">
        <v>4017.44</v>
      </c>
      <c r="P65" s="3"/>
      <c r="Q65" s="3"/>
      <c r="R65" s="3"/>
      <c r="S65" s="3"/>
      <c r="T65" s="3">
        <v>4017.44</v>
      </c>
    </row>
    <row r="66" spans="1:20" x14ac:dyDescent="0.3">
      <c r="A66" s="5" t="s">
        <v>614</v>
      </c>
      <c r="B66" s="3">
        <v>788.86726952764752</v>
      </c>
      <c r="D66" s="5" t="s">
        <v>34</v>
      </c>
      <c r="E66" s="3">
        <v>6580.61</v>
      </c>
      <c r="J66" s="6">
        <v>330.38</v>
      </c>
      <c r="K66" s="3">
        <v>1510.47</v>
      </c>
      <c r="M66" s="6">
        <v>22.1</v>
      </c>
      <c r="N66" s="3"/>
      <c r="O66" s="3"/>
      <c r="P66" s="3"/>
      <c r="Q66" s="3"/>
      <c r="R66" s="3"/>
      <c r="S66" s="3">
        <v>5281.55</v>
      </c>
      <c r="T66" s="3">
        <v>5281.55</v>
      </c>
    </row>
    <row r="67" spans="1:20" x14ac:dyDescent="0.3">
      <c r="A67" s="5" t="s">
        <v>615</v>
      </c>
      <c r="B67" s="3">
        <v>141.58214507129571</v>
      </c>
      <c r="D67" s="5" t="s">
        <v>570</v>
      </c>
      <c r="E67" s="3">
        <v>24847.23000000001</v>
      </c>
      <c r="J67" s="6">
        <v>330.82</v>
      </c>
      <c r="K67" s="3">
        <v>2660.08</v>
      </c>
      <c r="M67" s="6">
        <v>22.11</v>
      </c>
      <c r="N67" s="3"/>
      <c r="O67" s="3"/>
      <c r="P67" s="3"/>
      <c r="Q67" s="3"/>
      <c r="R67" s="3"/>
      <c r="S67" s="3">
        <v>2909.3</v>
      </c>
      <c r="T67" s="3">
        <v>2909.3</v>
      </c>
    </row>
    <row r="68" spans="1:20" x14ac:dyDescent="0.3">
      <c r="A68" s="5" t="s">
        <v>616</v>
      </c>
      <c r="B68" s="3">
        <v>198.69474767461585</v>
      </c>
      <c r="J68" s="6">
        <v>335.73</v>
      </c>
      <c r="K68" s="3">
        <v>2713.46</v>
      </c>
      <c r="M68" s="6">
        <v>22.12</v>
      </c>
      <c r="N68" s="3"/>
      <c r="O68" s="3">
        <v>1864.45</v>
      </c>
      <c r="P68" s="3"/>
      <c r="Q68" s="3"/>
      <c r="R68" s="3"/>
      <c r="S68" s="3"/>
      <c r="T68" s="3">
        <v>1864.45</v>
      </c>
    </row>
    <row r="69" spans="1:20" x14ac:dyDescent="0.3">
      <c r="A69" s="5" t="s">
        <v>617</v>
      </c>
      <c r="B69" s="3">
        <v>1459.330548804475</v>
      </c>
      <c r="J69" s="6">
        <v>337.51</v>
      </c>
      <c r="K69" s="3">
        <v>2103.86</v>
      </c>
      <c r="M69" s="6">
        <v>22.14</v>
      </c>
      <c r="N69" s="3"/>
      <c r="O69" s="3"/>
      <c r="P69" s="3">
        <v>2858.11</v>
      </c>
      <c r="Q69" s="3"/>
      <c r="R69" s="3"/>
      <c r="S69" s="3"/>
      <c r="T69" s="3">
        <v>2858.11</v>
      </c>
    </row>
    <row r="70" spans="1:20" x14ac:dyDescent="0.3">
      <c r="A70" s="5" t="s">
        <v>618</v>
      </c>
      <c r="B70" s="3">
        <v>2304.5648744141831</v>
      </c>
      <c r="D70" s="4" t="s">
        <v>727</v>
      </c>
      <c r="E70" s="4" t="s">
        <v>719</v>
      </c>
      <c r="J70" s="6">
        <v>338.58</v>
      </c>
      <c r="K70" s="3">
        <v>2975.71</v>
      </c>
      <c r="M70" s="6">
        <v>22.21</v>
      </c>
      <c r="N70" s="3">
        <v>3011.13</v>
      </c>
      <c r="O70" s="3"/>
      <c r="P70" s="3"/>
      <c r="Q70" s="3"/>
      <c r="R70" s="3"/>
      <c r="S70" s="3"/>
      <c r="T70" s="3">
        <v>3011.13</v>
      </c>
    </row>
    <row r="71" spans="1:20" x14ac:dyDescent="0.3">
      <c r="A71" s="5" t="s">
        <v>619</v>
      </c>
      <c r="B71" s="3">
        <v>72.850912668051151</v>
      </c>
      <c r="D71" s="4" t="s">
        <v>569</v>
      </c>
      <c r="E71" t="s">
        <v>726</v>
      </c>
      <c r="F71" t="s">
        <v>725</v>
      </c>
      <c r="G71" t="s">
        <v>570</v>
      </c>
      <c r="J71" s="6">
        <v>339.83</v>
      </c>
      <c r="K71" s="3">
        <v>3109.21</v>
      </c>
      <c r="M71" s="6">
        <v>22.22</v>
      </c>
      <c r="N71" s="3"/>
      <c r="O71" s="3"/>
      <c r="P71" s="3"/>
      <c r="Q71" s="3"/>
      <c r="R71" s="3">
        <v>5517.04</v>
      </c>
      <c r="S71" s="3"/>
      <c r="T71" s="3">
        <v>5517.04</v>
      </c>
    </row>
    <row r="72" spans="1:20" x14ac:dyDescent="0.3">
      <c r="A72" s="5" t="s">
        <v>620</v>
      </c>
      <c r="B72" s="3">
        <v>176.73549531289586</v>
      </c>
      <c r="D72" s="5" t="s">
        <v>59</v>
      </c>
      <c r="E72">
        <v>76</v>
      </c>
      <c r="G72">
        <v>76</v>
      </c>
      <c r="J72" s="6">
        <v>340.61</v>
      </c>
      <c r="K72" s="3">
        <v>1520.43</v>
      </c>
      <c r="M72" s="6">
        <v>22.24</v>
      </c>
      <c r="N72" s="3">
        <v>3294.92</v>
      </c>
      <c r="O72" s="3"/>
      <c r="P72" s="3"/>
      <c r="Q72" s="3"/>
      <c r="R72" s="3"/>
      <c r="S72" s="3">
        <v>3404.24</v>
      </c>
      <c r="T72" s="3">
        <v>3349.58</v>
      </c>
    </row>
    <row r="73" spans="1:20" x14ac:dyDescent="0.3">
      <c r="A73" s="5" t="s">
        <v>621</v>
      </c>
      <c r="B73" s="3">
        <v>97.141719745222929</v>
      </c>
      <c r="D73" s="5" t="s">
        <v>103</v>
      </c>
      <c r="E73">
        <v>76</v>
      </c>
      <c r="G73">
        <v>76</v>
      </c>
      <c r="J73" s="6">
        <v>342.78</v>
      </c>
      <c r="K73" s="3">
        <v>3437.26</v>
      </c>
      <c r="M73" s="6">
        <v>22.28</v>
      </c>
      <c r="N73" s="3"/>
      <c r="O73" s="3"/>
      <c r="P73" s="3"/>
      <c r="Q73" s="3">
        <v>5592.61</v>
      </c>
      <c r="R73" s="3"/>
      <c r="S73" s="3"/>
      <c r="T73" s="3">
        <v>5592.61</v>
      </c>
    </row>
    <row r="74" spans="1:20" x14ac:dyDescent="0.3">
      <c r="A74" s="5" t="s">
        <v>622</v>
      </c>
      <c r="B74" s="3">
        <v>542.24623107537957</v>
      </c>
      <c r="D74" s="5" t="s">
        <v>36</v>
      </c>
      <c r="E74">
        <v>57</v>
      </c>
      <c r="G74">
        <v>57</v>
      </c>
      <c r="J74" s="6">
        <v>343.72</v>
      </c>
      <c r="K74" s="3">
        <v>3792.38</v>
      </c>
      <c r="M74" s="6">
        <v>22.29</v>
      </c>
      <c r="N74" s="3"/>
      <c r="O74" s="3"/>
      <c r="P74" s="3">
        <v>3541.45</v>
      </c>
      <c r="Q74" s="3"/>
      <c r="R74" s="3"/>
      <c r="S74" s="3"/>
      <c r="T74" s="3">
        <v>3541.45</v>
      </c>
    </row>
    <row r="75" spans="1:20" x14ac:dyDescent="0.3">
      <c r="A75" s="5" t="s">
        <v>623</v>
      </c>
      <c r="B75" s="3">
        <v>116.91948615885653</v>
      </c>
      <c r="D75" s="5" t="s">
        <v>31</v>
      </c>
      <c r="E75">
        <v>79</v>
      </c>
      <c r="G75">
        <v>79</v>
      </c>
      <c r="J75" s="6">
        <v>347.71</v>
      </c>
      <c r="K75" s="3">
        <v>6512.68</v>
      </c>
      <c r="M75" s="6">
        <v>22.31</v>
      </c>
      <c r="N75" s="3"/>
      <c r="O75" s="3"/>
      <c r="P75" s="3"/>
      <c r="Q75" s="3">
        <v>1380.05</v>
      </c>
      <c r="R75" s="3"/>
      <c r="S75" s="3"/>
      <c r="T75" s="3">
        <v>1380.05</v>
      </c>
    </row>
    <row r="76" spans="1:20" x14ac:dyDescent="0.3">
      <c r="A76" s="5" t="s">
        <v>624</v>
      </c>
      <c r="B76" s="3">
        <v>158.20109639555091</v>
      </c>
      <c r="D76" s="5" t="s">
        <v>25</v>
      </c>
      <c r="E76">
        <v>74</v>
      </c>
      <c r="G76">
        <v>74</v>
      </c>
      <c r="J76" s="6">
        <v>348.2</v>
      </c>
      <c r="K76" s="3">
        <v>5690.11</v>
      </c>
      <c r="M76" s="6">
        <v>22.33</v>
      </c>
      <c r="N76" s="3">
        <v>3544.77</v>
      </c>
      <c r="O76" s="3"/>
      <c r="P76" s="3"/>
      <c r="Q76" s="3"/>
      <c r="R76" s="3"/>
      <c r="S76" s="3"/>
      <c r="T76" s="3">
        <v>3544.77</v>
      </c>
    </row>
    <row r="77" spans="1:20" x14ac:dyDescent="0.3">
      <c r="A77" s="5" t="s">
        <v>625</v>
      </c>
      <c r="B77" s="3">
        <v>508.66225012858393</v>
      </c>
      <c r="D77" s="5" t="s">
        <v>17</v>
      </c>
      <c r="E77">
        <v>68</v>
      </c>
      <c r="G77">
        <v>68</v>
      </c>
      <c r="J77" s="6">
        <v>348.94</v>
      </c>
      <c r="K77" s="3">
        <v>5281.55</v>
      </c>
      <c r="M77" s="6">
        <v>22.36</v>
      </c>
      <c r="N77" s="3"/>
      <c r="O77" s="3"/>
      <c r="P77" s="3">
        <v>1595.4</v>
      </c>
      <c r="Q77" s="3"/>
      <c r="R77" s="3"/>
      <c r="S77" s="3"/>
      <c r="T77" s="3">
        <v>1595.4</v>
      </c>
    </row>
    <row r="78" spans="1:20" x14ac:dyDescent="0.3">
      <c r="A78" s="5" t="s">
        <v>626</v>
      </c>
      <c r="B78" s="3">
        <v>523.23429259467707</v>
      </c>
      <c r="D78" s="5" t="s">
        <v>44</v>
      </c>
      <c r="E78">
        <v>70</v>
      </c>
      <c r="G78">
        <v>70</v>
      </c>
      <c r="J78" s="6">
        <v>349.85</v>
      </c>
      <c r="K78" s="3">
        <v>1673.25</v>
      </c>
      <c r="M78" s="6">
        <v>22.42</v>
      </c>
      <c r="N78" s="3">
        <v>2660.08</v>
      </c>
      <c r="O78" s="3"/>
      <c r="P78" s="3"/>
      <c r="Q78" s="3"/>
      <c r="R78" s="3"/>
      <c r="S78" s="3"/>
      <c r="T78" s="3">
        <v>2660.08</v>
      </c>
    </row>
    <row r="79" spans="1:20" x14ac:dyDescent="0.3">
      <c r="A79" s="5" t="s">
        <v>627</v>
      </c>
      <c r="B79" s="3">
        <v>600.03419764591376</v>
      </c>
      <c r="D79" s="5" t="s">
        <v>725</v>
      </c>
      <c r="J79" s="6">
        <v>351.37</v>
      </c>
      <c r="K79" s="3">
        <v>3640.6</v>
      </c>
      <c r="M79" s="6">
        <v>22.46</v>
      </c>
      <c r="N79" s="3"/>
      <c r="O79" s="3"/>
      <c r="P79" s="3"/>
      <c r="Q79" s="3"/>
      <c r="R79" s="3"/>
      <c r="S79" s="3">
        <v>5450.16</v>
      </c>
      <c r="T79" s="3">
        <v>5450.16</v>
      </c>
    </row>
    <row r="80" spans="1:20" x14ac:dyDescent="0.3">
      <c r="A80" s="5" t="s">
        <v>628</v>
      </c>
      <c r="B80" s="3">
        <v>355.70212161339384</v>
      </c>
      <c r="D80" s="5" t="s">
        <v>570</v>
      </c>
      <c r="E80">
        <v>500</v>
      </c>
      <c r="G80">
        <v>500</v>
      </c>
      <c r="J80" s="6">
        <v>357.5</v>
      </c>
      <c r="K80" s="3">
        <v>3019.37</v>
      </c>
      <c r="M80" s="6">
        <v>22.49</v>
      </c>
      <c r="N80" s="3"/>
      <c r="O80" s="3"/>
      <c r="P80" s="3"/>
      <c r="Q80" s="3"/>
      <c r="R80" s="3"/>
      <c r="S80" s="3">
        <v>2421.6799999999998</v>
      </c>
      <c r="T80" s="3">
        <v>2421.6799999999998</v>
      </c>
    </row>
    <row r="81" spans="1:20" x14ac:dyDescent="0.3">
      <c r="A81" s="5" t="s">
        <v>629</v>
      </c>
      <c r="B81" s="3">
        <v>1767.613717218487</v>
      </c>
      <c r="J81" s="6">
        <v>359.76</v>
      </c>
      <c r="K81" s="3">
        <v>6811.44</v>
      </c>
      <c r="M81" s="6">
        <v>22.53</v>
      </c>
      <c r="N81" s="3"/>
      <c r="O81" s="3"/>
      <c r="P81" s="3"/>
      <c r="Q81" s="3"/>
      <c r="R81" s="3"/>
      <c r="S81" s="3">
        <v>5363.01</v>
      </c>
      <c r="T81" s="3">
        <v>5363.01</v>
      </c>
    </row>
    <row r="82" spans="1:20" x14ac:dyDescent="0.3">
      <c r="A82" s="5" t="s">
        <v>630</v>
      </c>
      <c r="B82" s="3">
        <v>1023.0319676049854</v>
      </c>
      <c r="D82" s="4" t="s">
        <v>569</v>
      </c>
      <c r="E82" t="s">
        <v>727</v>
      </c>
      <c r="J82" s="6">
        <v>360.94</v>
      </c>
      <c r="K82" s="3">
        <v>1339.63</v>
      </c>
      <c r="M82" s="6">
        <v>22.54</v>
      </c>
      <c r="N82" s="3"/>
      <c r="O82" s="3"/>
      <c r="P82" s="3"/>
      <c r="Q82" s="3"/>
      <c r="R82" s="3"/>
      <c r="S82" s="3">
        <v>4357.22</v>
      </c>
      <c r="T82" s="3">
        <v>4357.22</v>
      </c>
    </row>
    <row r="83" spans="1:20" x14ac:dyDescent="0.3">
      <c r="A83" s="5" t="s">
        <v>631</v>
      </c>
      <c r="B83" s="3">
        <v>103.48564668769717</v>
      </c>
      <c r="D83" s="5" t="s">
        <v>39</v>
      </c>
      <c r="E83">
        <v>91</v>
      </c>
      <c r="J83" s="6">
        <v>369.26</v>
      </c>
      <c r="K83" s="3">
        <v>2924.43</v>
      </c>
      <c r="M83" s="6">
        <v>22.58</v>
      </c>
      <c r="N83" s="3"/>
      <c r="O83" s="3"/>
      <c r="P83" s="3">
        <v>4840.8500000000004</v>
      </c>
      <c r="Q83" s="3"/>
      <c r="R83" s="3"/>
      <c r="S83" s="3"/>
      <c r="T83" s="3">
        <v>4840.8500000000004</v>
      </c>
    </row>
    <row r="84" spans="1:20" x14ac:dyDescent="0.3">
      <c r="A84" s="5" t="s">
        <v>632</v>
      </c>
      <c r="B84" s="3">
        <v>336.35148293972611</v>
      </c>
      <c r="D84" s="5" t="s">
        <v>20</v>
      </c>
      <c r="E84">
        <v>74</v>
      </c>
      <c r="J84" s="6">
        <v>369.58</v>
      </c>
      <c r="K84" s="3">
        <v>4357.22</v>
      </c>
      <c r="M84" s="6">
        <v>22.64</v>
      </c>
      <c r="N84" s="3"/>
      <c r="O84" s="3"/>
      <c r="P84" s="3">
        <v>5550.45</v>
      </c>
      <c r="Q84" s="3"/>
      <c r="R84" s="3"/>
      <c r="S84" s="3"/>
      <c r="T84" s="3">
        <v>5550.45</v>
      </c>
    </row>
    <row r="85" spans="1:20" x14ac:dyDescent="0.3">
      <c r="A85" s="5" t="s">
        <v>633</v>
      </c>
      <c r="B85" s="3">
        <v>525.70676020987605</v>
      </c>
      <c r="D85" s="5" t="s">
        <v>27</v>
      </c>
      <c r="E85">
        <v>84</v>
      </c>
      <c r="J85" s="6">
        <v>370.88</v>
      </c>
      <c r="K85" s="3">
        <v>1959.4</v>
      </c>
      <c r="M85" s="6">
        <v>22.68</v>
      </c>
      <c r="N85" s="3"/>
      <c r="O85" s="3">
        <v>3398.07</v>
      </c>
      <c r="P85" s="3">
        <v>5176.68</v>
      </c>
      <c r="Q85" s="3"/>
      <c r="R85" s="3"/>
      <c r="S85" s="3"/>
      <c r="T85" s="3">
        <v>4287.375</v>
      </c>
    </row>
    <row r="86" spans="1:20" x14ac:dyDescent="0.3">
      <c r="A86" s="5" t="s">
        <v>634</v>
      </c>
      <c r="B86" s="3">
        <v>773.06626303928954</v>
      </c>
      <c r="D86" s="5" t="s">
        <v>56</v>
      </c>
      <c r="E86">
        <v>77</v>
      </c>
      <c r="J86" s="6">
        <v>379.89</v>
      </c>
      <c r="K86" s="3">
        <v>3233.86</v>
      </c>
      <c r="M86" s="6">
        <v>22.75</v>
      </c>
      <c r="N86" s="3"/>
      <c r="O86" s="3">
        <v>4541.01</v>
      </c>
      <c r="P86" s="3"/>
      <c r="Q86" s="3"/>
      <c r="R86" s="3"/>
      <c r="S86" s="3"/>
      <c r="T86" s="3">
        <v>4541.01</v>
      </c>
    </row>
    <row r="87" spans="1:20" x14ac:dyDescent="0.3">
      <c r="A87" s="5" t="s">
        <v>635</v>
      </c>
      <c r="B87" s="3">
        <v>264.54048252402771</v>
      </c>
      <c r="D87" s="5" t="s">
        <v>46</v>
      </c>
      <c r="E87">
        <v>90</v>
      </c>
      <c r="J87" s="6">
        <v>380.7</v>
      </c>
      <c r="K87" s="3">
        <v>2857.11</v>
      </c>
      <c r="M87" s="6">
        <v>22.76</v>
      </c>
      <c r="N87" s="3">
        <v>2009.4</v>
      </c>
      <c r="O87" s="3"/>
      <c r="P87" s="3"/>
      <c r="Q87" s="3"/>
      <c r="R87" s="3"/>
      <c r="S87" s="3"/>
      <c r="T87" s="3">
        <v>2009.4</v>
      </c>
    </row>
    <row r="88" spans="1:20" x14ac:dyDescent="0.3">
      <c r="A88" s="5" t="s">
        <v>636</v>
      </c>
      <c r="B88" s="3">
        <v>649.16858677141033</v>
      </c>
      <c r="D88" s="5" t="s">
        <v>64</v>
      </c>
      <c r="E88">
        <v>84</v>
      </c>
      <c r="J88" s="6">
        <v>386.05</v>
      </c>
      <c r="K88" s="3">
        <v>2672.14</v>
      </c>
      <c r="M88" s="6">
        <v>22.79</v>
      </c>
      <c r="N88" s="3"/>
      <c r="O88" s="3"/>
      <c r="P88" s="3"/>
      <c r="Q88" s="3"/>
      <c r="R88" s="3">
        <v>2054.73</v>
      </c>
      <c r="S88" s="3"/>
      <c r="T88" s="3">
        <v>2054.73</v>
      </c>
    </row>
    <row r="89" spans="1:20" x14ac:dyDescent="0.3">
      <c r="A89" s="5" t="s">
        <v>637</v>
      </c>
      <c r="B89" s="3">
        <v>37.035071441825941</v>
      </c>
      <c r="D89" s="5" t="s">
        <v>725</v>
      </c>
      <c r="J89" s="6">
        <v>386.63</v>
      </c>
      <c r="K89" s="3">
        <v>4354.1499999999996</v>
      </c>
      <c r="M89" s="6">
        <v>22.82</v>
      </c>
      <c r="N89" s="3">
        <v>1309.22</v>
      </c>
      <c r="O89" s="3"/>
      <c r="P89" s="3"/>
      <c r="Q89" s="3"/>
      <c r="R89" s="3"/>
      <c r="S89" s="3"/>
      <c r="T89" s="3">
        <v>1309.22</v>
      </c>
    </row>
    <row r="90" spans="1:20" x14ac:dyDescent="0.3">
      <c r="A90" s="5" t="s">
        <v>638</v>
      </c>
      <c r="B90" s="3">
        <v>324.66549730040003</v>
      </c>
      <c r="D90" s="5" t="s">
        <v>570</v>
      </c>
      <c r="E90">
        <v>500</v>
      </c>
      <c r="J90" s="6">
        <v>388.23</v>
      </c>
      <c r="K90" s="3">
        <v>4270.71</v>
      </c>
      <c r="M90" s="6">
        <v>22.84</v>
      </c>
      <c r="N90" s="3"/>
      <c r="O90" s="3"/>
      <c r="P90" s="3"/>
      <c r="Q90" s="3"/>
      <c r="R90" s="3"/>
      <c r="S90" s="3">
        <v>6763.52</v>
      </c>
      <c r="T90" s="3">
        <v>6763.52</v>
      </c>
    </row>
    <row r="91" spans="1:20" x14ac:dyDescent="0.3">
      <c r="A91" s="5" t="s">
        <v>639</v>
      </c>
      <c r="B91" s="3">
        <v>639.44374202164181</v>
      </c>
      <c r="J91" s="6">
        <v>391.84</v>
      </c>
      <c r="K91" s="3">
        <v>3414.4</v>
      </c>
      <c r="M91" s="6">
        <v>22.86</v>
      </c>
      <c r="N91" s="3"/>
      <c r="O91" s="3"/>
      <c r="P91" s="3"/>
      <c r="Q91" s="3">
        <v>6294.3</v>
      </c>
      <c r="R91" s="3"/>
      <c r="S91" s="3"/>
      <c r="T91" s="3">
        <v>6294.3</v>
      </c>
    </row>
    <row r="92" spans="1:20" x14ac:dyDescent="0.3">
      <c r="A92" s="5" t="s">
        <v>640</v>
      </c>
      <c r="B92" s="3">
        <v>2305.8914748467746</v>
      </c>
      <c r="J92" s="6">
        <v>394.02</v>
      </c>
      <c r="K92" s="3">
        <v>4695.96</v>
      </c>
      <c r="M92" s="6">
        <v>22.87</v>
      </c>
      <c r="N92" s="3"/>
      <c r="O92" s="3">
        <v>1723.94</v>
      </c>
      <c r="P92" s="3"/>
      <c r="Q92" s="3"/>
      <c r="R92" s="3"/>
      <c r="S92" s="3"/>
      <c r="T92" s="3">
        <v>1723.94</v>
      </c>
    </row>
    <row r="93" spans="1:20" x14ac:dyDescent="0.3">
      <c r="A93" s="5" t="s">
        <v>641</v>
      </c>
      <c r="B93" s="3">
        <v>787.65406432252257</v>
      </c>
      <c r="J93" s="6">
        <v>395.13</v>
      </c>
      <c r="K93" s="3">
        <v>3154.24</v>
      </c>
      <c r="M93" s="6">
        <v>22.97</v>
      </c>
      <c r="N93" s="3">
        <v>4868.1099999999997</v>
      </c>
      <c r="O93" s="3"/>
      <c r="P93" s="3"/>
      <c r="Q93" s="3"/>
      <c r="R93" s="3"/>
      <c r="S93" s="3"/>
      <c r="T93" s="3">
        <v>4868.1099999999997</v>
      </c>
    </row>
    <row r="94" spans="1:20" x14ac:dyDescent="0.3">
      <c r="A94" s="5" t="s">
        <v>642</v>
      </c>
      <c r="B94" s="3">
        <v>545.90411744017456</v>
      </c>
      <c r="J94" s="6">
        <v>396.43</v>
      </c>
      <c r="K94" s="3">
        <v>6050.76</v>
      </c>
      <c r="M94" s="6">
        <v>23.05</v>
      </c>
      <c r="N94" s="3"/>
      <c r="O94" s="3"/>
      <c r="P94" s="3"/>
      <c r="Q94" s="3"/>
      <c r="R94" s="3">
        <v>5728.67</v>
      </c>
      <c r="S94" s="3">
        <v>5454.5</v>
      </c>
      <c r="T94" s="3">
        <v>5591.585</v>
      </c>
    </row>
    <row r="95" spans="1:20" x14ac:dyDescent="0.3">
      <c r="A95" s="5" t="s">
        <v>643</v>
      </c>
      <c r="B95" s="3">
        <v>36.27802842318971</v>
      </c>
      <c r="J95" s="6">
        <v>400.3</v>
      </c>
      <c r="K95" s="3">
        <v>3478.64</v>
      </c>
      <c r="M95" s="6">
        <v>23.06</v>
      </c>
      <c r="N95" s="3">
        <v>3721.26</v>
      </c>
      <c r="O95" s="3"/>
      <c r="P95" s="3"/>
      <c r="Q95" s="3"/>
      <c r="R95" s="3"/>
      <c r="S95" s="3"/>
      <c r="T95" s="3">
        <v>3721.26</v>
      </c>
    </row>
    <row r="96" spans="1:20" x14ac:dyDescent="0.3">
      <c r="A96" s="5" t="s">
        <v>644</v>
      </c>
      <c r="B96" s="3">
        <v>42.387021848470205</v>
      </c>
      <c r="J96" s="6">
        <v>402.21</v>
      </c>
      <c r="K96" s="3">
        <v>5318.93</v>
      </c>
      <c r="M96" s="6">
        <v>23.08</v>
      </c>
      <c r="N96" s="3"/>
      <c r="O96" s="3"/>
      <c r="P96" s="3"/>
      <c r="Q96" s="3">
        <v>3717.85</v>
      </c>
      <c r="R96" s="3"/>
      <c r="S96" s="3"/>
      <c r="T96" s="3">
        <v>3717.85</v>
      </c>
    </row>
    <row r="97" spans="1:20" x14ac:dyDescent="0.3">
      <c r="A97" s="5" t="s">
        <v>645</v>
      </c>
      <c r="B97" s="3">
        <v>302.67731769677312</v>
      </c>
      <c r="J97" s="6">
        <v>404.26</v>
      </c>
      <c r="K97" s="3">
        <v>1491.9</v>
      </c>
      <c r="M97" s="6">
        <v>23.16</v>
      </c>
      <c r="N97" s="3"/>
      <c r="O97" s="3"/>
      <c r="P97" s="3"/>
      <c r="Q97" s="3"/>
      <c r="R97" s="3">
        <v>4801.4800000000005</v>
      </c>
      <c r="S97" s="3"/>
      <c r="T97" s="3">
        <v>4801.4800000000005</v>
      </c>
    </row>
    <row r="98" spans="1:20" x14ac:dyDescent="0.3">
      <c r="A98" s="5" t="s">
        <v>646</v>
      </c>
      <c r="B98" s="3">
        <v>1968.837996557648</v>
      </c>
      <c r="J98" s="6">
        <v>405.58</v>
      </c>
      <c r="K98" s="3">
        <v>2279.0500000000002</v>
      </c>
      <c r="M98" s="6">
        <v>23.17</v>
      </c>
      <c r="N98" s="3"/>
      <c r="O98" s="3"/>
      <c r="P98" s="3"/>
      <c r="Q98" s="3"/>
      <c r="R98" s="3"/>
      <c r="S98" s="3">
        <v>3571.68</v>
      </c>
      <c r="T98" s="3">
        <v>3571.68</v>
      </c>
    </row>
    <row r="99" spans="1:20" x14ac:dyDescent="0.3">
      <c r="A99" s="5" t="s">
        <v>647</v>
      </c>
      <c r="B99" s="3">
        <v>991.43735580615987</v>
      </c>
      <c r="J99" s="6">
        <v>406.78</v>
      </c>
      <c r="K99" s="3">
        <v>2198</v>
      </c>
      <c r="M99" s="6">
        <v>23.18</v>
      </c>
      <c r="N99" s="3"/>
      <c r="O99" s="3"/>
      <c r="P99" s="3">
        <v>3273.94</v>
      </c>
      <c r="Q99" s="3"/>
      <c r="R99" s="3"/>
      <c r="S99" s="3"/>
      <c r="T99" s="3">
        <v>3273.94</v>
      </c>
    </row>
    <row r="100" spans="1:20" x14ac:dyDescent="0.3">
      <c r="A100" s="5" t="s">
        <v>648</v>
      </c>
      <c r="B100" s="3">
        <v>82.10439376745741</v>
      </c>
      <c r="J100" s="6">
        <v>407.16</v>
      </c>
      <c r="K100" s="3">
        <v>6572.6</v>
      </c>
      <c r="M100" s="6">
        <v>23.24</v>
      </c>
      <c r="N100" s="3"/>
      <c r="O100" s="3"/>
      <c r="P100" s="3">
        <v>5576.36</v>
      </c>
      <c r="Q100" s="3"/>
      <c r="R100" s="3"/>
      <c r="S100" s="3"/>
      <c r="T100" s="3">
        <v>5576.36</v>
      </c>
    </row>
    <row r="101" spans="1:20" x14ac:dyDescent="0.3">
      <c r="A101" s="5" t="s">
        <v>649</v>
      </c>
      <c r="B101" s="3">
        <v>280.83181474958155</v>
      </c>
      <c r="J101" s="6">
        <v>407.33</v>
      </c>
      <c r="K101" s="3">
        <v>3789.31</v>
      </c>
      <c r="M101" s="6">
        <v>23.27</v>
      </c>
      <c r="N101" s="3"/>
      <c r="O101" s="3"/>
      <c r="P101" s="3"/>
      <c r="Q101" s="3"/>
      <c r="R101" s="3"/>
      <c r="S101" s="3">
        <v>3750.7</v>
      </c>
      <c r="T101" s="3">
        <v>3750.7</v>
      </c>
    </row>
    <row r="102" spans="1:20" x14ac:dyDescent="0.3">
      <c r="A102" s="5" t="s">
        <v>650</v>
      </c>
      <c r="B102" s="3">
        <v>779.62568901573115</v>
      </c>
      <c r="J102" s="6">
        <v>407.64</v>
      </c>
      <c r="K102" s="3">
        <v>1724.42</v>
      </c>
      <c r="M102" s="6">
        <v>23.33</v>
      </c>
      <c r="N102" s="3"/>
      <c r="O102" s="3"/>
      <c r="P102" s="3"/>
      <c r="Q102" s="3">
        <v>5351.12</v>
      </c>
      <c r="R102" s="3"/>
      <c r="S102" s="3"/>
      <c r="T102" s="3">
        <v>5351.12</v>
      </c>
    </row>
    <row r="103" spans="1:20" x14ac:dyDescent="0.3">
      <c r="A103" s="5" t="s">
        <v>651</v>
      </c>
      <c r="B103" s="3">
        <v>1461.1557306906718</v>
      </c>
      <c r="J103" s="6">
        <v>411.68</v>
      </c>
      <c r="K103" s="3">
        <v>5726.67</v>
      </c>
      <c r="M103" s="6">
        <v>23.39</v>
      </c>
      <c r="N103" s="3">
        <v>2103.86</v>
      </c>
      <c r="O103" s="3">
        <v>3216.41</v>
      </c>
      <c r="P103" s="3"/>
      <c r="Q103" s="3"/>
      <c r="R103" s="3"/>
      <c r="S103" s="3"/>
      <c r="T103" s="3">
        <v>2660.1350000000002</v>
      </c>
    </row>
    <row r="104" spans="1:20" x14ac:dyDescent="0.3">
      <c r="A104" s="5" t="s">
        <v>652</v>
      </c>
      <c r="B104" s="3">
        <v>197.6002768350757</v>
      </c>
      <c r="J104" s="6">
        <v>411.88</v>
      </c>
      <c r="K104" s="3">
        <v>1136.49</v>
      </c>
      <c r="M104" s="6">
        <v>23.44</v>
      </c>
      <c r="N104" s="3"/>
      <c r="O104" s="3"/>
      <c r="P104" s="3"/>
      <c r="Q104" s="3"/>
      <c r="R104" s="3">
        <v>6552.35</v>
      </c>
      <c r="S104" s="3"/>
      <c r="T104" s="3">
        <v>6552.35</v>
      </c>
    </row>
    <row r="105" spans="1:20" x14ac:dyDescent="0.3">
      <c r="A105" s="5" t="s">
        <v>653</v>
      </c>
      <c r="B105" s="3">
        <v>283.19036895334114</v>
      </c>
      <c r="J105" s="6">
        <v>417.96</v>
      </c>
      <c r="K105" s="3">
        <v>3841.37</v>
      </c>
      <c r="M105" s="6">
        <v>23.45</v>
      </c>
      <c r="N105" s="3">
        <v>4478.57</v>
      </c>
      <c r="O105" s="3"/>
      <c r="P105" s="3"/>
      <c r="Q105" s="3"/>
      <c r="R105" s="3"/>
      <c r="S105" s="3"/>
      <c r="T105" s="3">
        <v>4478.57</v>
      </c>
    </row>
    <row r="106" spans="1:20" x14ac:dyDescent="0.3">
      <c r="A106" s="5" t="s">
        <v>654</v>
      </c>
      <c r="B106" s="3">
        <v>672.29963355761345</v>
      </c>
      <c r="J106" s="6">
        <v>420.59</v>
      </c>
      <c r="K106" s="3">
        <v>1979.62</v>
      </c>
      <c r="M106" s="6">
        <v>23.47</v>
      </c>
      <c r="N106" s="3"/>
      <c r="O106" s="3"/>
      <c r="P106" s="3"/>
      <c r="Q106" s="3"/>
      <c r="R106" s="3">
        <v>4977.8900000000003</v>
      </c>
      <c r="S106" s="3"/>
      <c r="T106" s="3">
        <v>4977.8900000000003</v>
      </c>
    </row>
    <row r="107" spans="1:20" x14ac:dyDescent="0.3">
      <c r="A107" s="5" t="s">
        <v>655</v>
      </c>
      <c r="B107" s="3">
        <v>253.57501480108314</v>
      </c>
      <c r="J107" s="6">
        <v>420.72</v>
      </c>
      <c r="K107" s="3">
        <v>5207.88</v>
      </c>
      <c r="M107" s="6">
        <v>23.5</v>
      </c>
      <c r="N107" s="3"/>
      <c r="O107" s="3"/>
      <c r="P107" s="3"/>
      <c r="Q107" s="3"/>
      <c r="R107" s="3"/>
      <c r="S107" s="3">
        <v>3392.47</v>
      </c>
      <c r="T107" s="3">
        <v>3392.47</v>
      </c>
    </row>
    <row r="108" spans="1:20" x14ac:dyDescent="0.3">
      <c r="A108" s="5" t="s">
        <v>656</v>
      </c>
      <c r="B108" s="3">
        <v>83.562971134399703</v>
      </c>
      <c r="J108" s="6">
        <v>421.2</v>
      </c>
      <c r="K108" s="3">
        <v>1956.22</v>
      </c>
      <c r="M108" s="6">
        <v>23.53</v>
      </c>
      <c r="N108" s="3"/>
      <c r="O108" s="3"/>
      <c r="P108" s="3"/>
      <c r="Q108" s="3"/>
      <c r="R108" s="3"/>
      <c r="S108" s="3">
        <v>5924.52</v>
      </c>
      <c r="T108" s="3">
        <v>5924.52</v>
      </c>
    </row>
    <row r="109" spans="1:20" x14ac:dyDescent="0.3">
      <c r="A109" s="5" t="s">
        <v>657</v>
      </c>
      <c r="B109" s="3">
        <v>566.44181266486362</v>
      </c>
      <c r="J109" s="6">
        <v>424.64</v>
      </c>
      <c r="K109" s="3">
        <v>3011.13</v>
      </c>
      <c r="M109" s="6">
        <v>23.54</v>
      </c>
      <c r="N109" s="3"/>
      <c r="O109" s="3"/>
      <c r="P109" s="3">
        <v>5657.37</v>
      </c>
      <c r="Q109" s="3"/>
      <c r="R109" s="3"/>
      <c r="S109" s="3"/>
      <c r="T109" s="3">
        <v>5657.37</v>
      </c>
    </row>
    <row r="110" spans="1:20" x14ac:dyDescent="0.3">
      <c r="A110" s="5" t="s">
        <v>658</v>
      </c>
      <c r="B110" s="3">
        <v>837.99410177950358</v>
      </c>
      <c r="J110" s="6">
        <v>427.96</v>
      </c>
      <c r="K110" s="3">
        <v>3949.72</v>
      </c>
      <c r="M110" s="6">
        <v>23.58</v>
      </c>
      <c r="N110" s="3"/>
      <c r="O110" s="3"/>
      <c r="P110" s="3">
        <v>1491.9</v>
      </c>
      <c r="Q110" s="3"/>
      <c r="R110" s="3"/>
      <c r="S110" s="3"/>
      <c r="T110" s="3">
        <v>1491.9</v>
      </c>
    </row>
    <row r="111" spans="1:20" x14ac:dyDescent="0.3">
      <c r="A111" s="5" t="s">
        <v>659</v>
      </c>
      <c r="B111" s="3">
        <v>157.97407639767152</v>
      </c>
      <c r="J111" s="6">
        <v>429.93</v>
      </c>
      <c r="K111" s="3">
        <v>4801.97</v>
      </c>
      <c r="M111" s="6">
        <v>23.63</v>
      </c>
      <c r="N111" s="3"/>
      <c r="O111" s="3"/>
      <c r="P111" s="3"/>
      <c r="Q111" s="3">
        <v>5941.04</v>
      </c>
      <c r="R111" s="3"/>
      <c r="S111" s="3"/>
      <c r="T111" s="3">
        <v>5941.04</v>
      </c>
    </row>
    <row r="112" spans="1:20" x14ac:dyDescent="0.3">
      <c r="A112" s="5" t="s">
        <v>660</v>
      </c>
      <c r="B112" s="3">
        <v>35.959270087710458</v>
      </c>
      <c r="J112" s="6">
        <v>430.91</v>
      </c>
      <c r="K112" s="3">
        <v>4402.26</v>
      </c>
      <c r="M112" s="6">
        <v>23.64</v>
      </c>
      <c r="N112" s="3"/>
      <c r="O112" s="3"/>
      <c r="P112" s="3"/>
      <c r="Q112" s="3"/>
      <c r="R112" s="3"/>
      <c r="S112" s="3">
        <v>3933.37</v>
      </c>
      <c r="T112" s="3">
        <v>3933.37</v>
      </c>
    </row>
    <row r="113" spans="1:20" x14ac:dyDescent="0.3">
      <c r="A113" s="5" t="s">
        <v>661</v>
      </c>
      <c r="B113" s="3">
        <v>228.33899382955258</v>
      </c>
      <c r="J113" s="6">
        <v>431.02</v>
      </c>
      <c r="K113" s="3">
        <v>6763.52</v>
      </c>
      <c r="M113" s="6">
        <v>23.66</v>
      </c>
      <c r="N113" s="3"/>
      <c r="O113" s="3"/>
      <c r="P113" s="3"/>
      <c r="Q113" s="3"/>
      <c r="R113" s="3">
        <v>4778.59</v>
      </c>
      <c r="S113" s="3"/>
      <c r="T113" s="3">
        <v>4778.59</v>
      </c>
    </row>
    <row r="114" spans="1:20" x14ac:dyDescent="0.3">
      <c r="A114" s="5" t="s">
        <v>662</v>
      </c>
      <c r="B114" s="3">
        <v>2060.2457467524428</v>
      </c>
      <c r="J114" s="6">
        <v>433.82</v>
      </c>
      <c r="K114" s="3">
        <v>4831.3</v>
      </c>
      <c r="M114" s="6">
        <v>23.67</v>
      </c>
      <c r="N114" s="3"/>
      <c r="O114" s="3"/>
      <c r="P114" s="3"/>
      <c r="Q114" s="3"/>
      <c r="R114" s="3"/>
      <c r="S114" s="3">
        <v>1403.75</v>
      </c>
      <c r="T114" s="3">
        <v>1403.75</v>
      </c>
    </row>
    <row r="115" spans="1:20" x14ac:dyDescent="0.3">
      <c r="A115" s="5" t="s">
        <v>663</v>
      </c>
      <c r="B115" s="3">
        <v>1962.700988247441</v>
      </c>
      <c r="J115" s="6">
        <v>436.2</v>
      </c>
      <c r="K115" s="3">
        <v>5476.4549999999999</v>
      </c>
      <c r="M115" s="6">
        <v>23.71</v>
      </c>
      <c r="N115" s="3"/>
      <c r="O115" s="3"/>
      <c r="P115" s="3">
        <v>2118.5</v>
      </c>
      <c r="Q115" s="3"/>
      <c r="R115" s="3"/>
      <c r="S115" s="3"/>
      <c r="T115" s="3">
        <v>2118.5</v>
      </c>
    </row>
    <row r="116" spans="1:20" x14ac:dyDescent="0.3">
      <c r="A116" s="5" t="s">
        <v>664</v>
      </c>
      <c r="B116" s="3">
        <v>72.399501571134465</v>
      </c>
      <c r="J116" s="6">
        <v>438.57</v>
      </c>
      <c r="K116" s="3">
        <v>4541.01</v>
      </c>
      <c r="M116" s="6">
        <v>23.72</v>
      </c>
      <c r="N116" s="3">
        <v>6970.9</v>
      </c>
      <c r="O116" s="3"/>
      <c r="P116" s="3"/>
      <c r="Q116" s="3"/>
      <c r="R116" s="3"/>
      <c r="S116" s="3"/>
      <c r="T116" s="3">
        <v>6970.9</v>
      </c>
    </row>
    <row r="117" spans="1:20" x14ac:dyDescent="0.3">
      <c r="A117" s="5" t="s">
        <v>665</v>
      </c>
      <c r="B117" s="3">
        <v>4341.3610170127777</v>
      </c>
      <c r="J117" s="6">
        <v>439.17</v>
      </c>
      <c r="K117" s="3">
        <v>5514.35</v>
      </c>
      <c r="M117" s="6">
        <v>23.73</v>
      </c>
      <c r="N117" s="3">
        <v>4920.7299999999996</v>
      </c>
      <c r="O117" s="3"/>
      <c r="P117" s="3"/>
      <c r="Q117" s="3"/>
      <c r="R117" s="3"/>
      <c r="S117" s="3"/>
      <c r="T117" s="3">
        <v>4920.7299999999996</v>
      </c>
    </row>
    <row r="118" spans="1:20" x14ac:dyDescent="0.3">
      <c r="A118" s="5" t="s">
        <v>666</v>
      </c>
      <c r="B118" s="3">
        <v>1647.0499455195479</v>
      </c>
      <c r="J118" s="6">
        <v>440.87</v>
      </c>
      <c r="K118" s="3">
        <v>6272.33</v>
      </c>
      <c r="M118" s="6">
        <v>23.75</v>
      </c>
      <c r="N118" s="3"/>
      <c r="O118" s="3"/>
      <c r="P118" s="3">
        <v>1226.42</v>
      </c>
      <c r="Q118" s="3"/>
      <c r="R118" s="3"/>
      <c r="S118" s="3"/>
      <c r="T118" s="3">
        <v>1226.42</v>
      </c>
    </row>
    <row r="119" spans="1:20" x14ac:dyDescent="0.3">
      <c r="A119" s="5" t="s">
        <v>667</v>
      </c>
      <c r="B119" s="3">
        <v>1266.6306185948738</v>
      </c>
      <c r="J119" s="6">
        <v>443.09</v>
      </c>
      <c r="K119" s="3">
        <v>5766.34</v>
      </c>
      <c r="M119" s="6">
        <v>23.83</v>
      </c>
      <c r="N119" s="3"/>
      <c r="O119" s="3"/>
      <c r="P119" s="3"/>
      <c r="Q119" s="3"/>
      <c r="R119" s="3">
        <v>2444.98</v>
      </c>
      <c r="S119" s="3"/>
      <c r="T119" s="3">
        <v>2444.98</v>
      </c>
    </row>
    <row r="120" spans="1:20" x14ac:dyDescent="0.3">
      <c r="A120" s="5" t="s">
        <v>668</v>
      </c>
      <c r="B120" s="3">
        <v>242.1036562914133</v>
      </c>
      <c r="J120" s="6">
        <v>447.51</v>
      </c>
      <c r="K120" s="3">
        <v>3544.77</v>
      </c>
      <c r="M120" s="6">
        <v>23.87</v>
      </c>
      <c r="N120" s="3">
        <v>3792.38</v>
      </c>
      <c r="O120" s="3"/>
      <c r="P120" s="3"/>
      <c r="Q120" s="3"/>
      <c r="R120" s="3"/>
      <c r="S120" s="3"/>
      <c r="T120" s="3">
        <v>3792.38</v>
      </c>
    </row>
    <row r="121" spans="1:20" x14ac:dyDescent="0.3">
      <c r="A121" s="5" t="s">
        <v>669</v>
      </c>
      <c r="B121" s="3">
        <v>440.50932731572902</v>
      </c>
      <c r="J121" s="6">
        <v>450.61</v>
      </c>
      <c r="K121" s="3">
        <v>6684.9</v>
      </c>
      <c r="M121" s="6">
        <v>23.96</v>
      </c>
      <c r="N121" s="3"/>
      <c r="O121" s="3"/>
      <c r="P121" s="3"/>
      <c r="Q121" s="3"/>
      <c r="R121" s="3"/>
      <c r="S121" s="3">
        <v>1607.74</v>
      </c>
      <c r="T121" s="3">
        <v>1607.74</v>
      </c>
    </row>
    <row r="122" spans="1:20" x14ac:dyDescent="0.3">
      <c r="A122" s="5" t="s">
        <v>670</v>
      </c>
      <c r="B122" s="3">
        <v>480.85628165734181</v>
      </c>
      <c r="J122" s="6">
        <v>455</v>
      </c>
      <c r="K122" s="3">
        <v>4343.72</v>
      </c>
      <c r="M122" s="6">
        <v>23.98</v>
      </c>
      <c r="N122" s="3"/>
      <c r="O122" s="3"/>
      <c r="P122" s="3"/>
      <c r="Q122" s="3"/>
      <c r="R122" s="3">
        <v>6187.9</v>
      </c>
      <c r="S122" s="3">
        <v>6846.39</v>
      </c>
      <c r="T122" s="3">
        <v>6517.1450000000004</v>
      </c>
    </row>
    <row r="123" spans="1:20" x14ac:dyDescent="0.3">
      <c r="A123" s="5" t="s">
        <v>671</v>
      </c>
      <c r="B123" s="3">
        <v>569.9543750001983</v>
      </c>
      <c r="J123" s="6">
        <v>460.16</v>
      </c>
      <c r="K123" s="3">
        <v>3571.68</v>
      </c>
      <c r="M123" s="6">
        <v>24</v>
      </c>
      <c r="N123" s="3"/>
      <c r="O123" s="3"/>
      <c r="P123" s="3"/>
      <c r="Q123" s="3"/>
      <c r="R123" s="3">
        <v>5419.39</v>
      </c>
      <c r="S123" s="3"/>
      <c r="T123" s="3">
        <v>5419.39</v>
      </c>
    </row>
    <row r="124" spans="1:20" x14ac:dyDescent="0.3">
      <c r="A124" s="5" t="s">
        <v>672</v>
      </c>
      <c r="B124" s="3">
        <v>348.8194760820046</v>
      </c>
      <c r="J124" s="6">
        <v>462.85</v>
      </c>
      <c r="K124" s="3">
        <v>3169.61</v>
      </c>
      <c r="M124" s="6">
        <v>24.03</v>
      </c>
      <c r="N124" s="3"/>
      <c r="O124" s="3"/>
      <c r="P124" s="3">
        <v>4229.04</v>
      </c>
      <c r="Q124" s="3"/>
      <c r="R124" s="3"/>
      <c r="S124" s="3"/>
      <c r="T124" s="3">
        <v>4229.04</v>
      </c>
    </row>
    <row r="125" spans="1:20" x14ac:dyDescent="0.3">
      <c r="A125" s="5" t="s">
        <v>673</v>
      </c>
      <c r="B125" s="3">
        <v>278.658777261848</v>
      </c>
      <c r="J125" s="6">
        <v>464.65</v>
      </c>
      <c r="K125" s="3">
        <v>1595.4</v>
      </c>
      <c r="M125" s="6">
        <v>24.05</v>
      </c>
      <c r="N125" s="3"/>
      <c r="O125" s="3"/>
      <c r="P125" s="3"/>
      <c r="Q125" s="3">
        <v>5114.4399999999996</v>
      </c>
      <c r="R125" s="3"/>
      <c r="S125" s="3"/>
      <c r="T125" s="3">
        <v>5114.4399999999996</v>
      </c>
    </row>
    <row r="126" spans="1:20" x14ac:dyDescent="0.3">
      <c r="A126" s="5" t="s">
        <v>674</v>
      </c>
      <c r="B126" s="3">
        <v>1244.1027581539975</v>
      </c>
      <c r="J126" s="6">
        <v>464.66</v>
      </c>
      <c r="K126" s="3">
        <v>6975.75</v>
      </c>
      <c r="M126" s="6">
        <v>24.07</v>
      </c>
      <c r="N126" s="3"/>
      <c r="O126" s="3">
        <v>2901.27</v>
      </c>
      <c r="P126" s="3"/>
      <c r="Q126" s="3"/>
      <c r="R126" s="3"/>
      <c r="S126" s="3"/>
      <c r="T126" s="3">
        <v>2901.27</v>
      </c>
    </row>
    <row r="127" spans="1:20" x14ac:dyDescent="0.3">
      <c r="A127" s="5" t="s">
        <v>675</v>
      </c>
      <c r="B127" s="3">
        <v>554.10240338970266</v>
      </c>
      <c r="J127" s="6">
        <v>464.99</v>
      </c>
      <c r="K127" s="3">
        <v>1226.42</v>
      </c>
      <c r="M127" s="6">
        <v>24.08</v>
      </c>
      <c r="N127" s="3"/>
      <c r="O127" s="3">
        <v>1557.71</v>
      </c>
      <c r="P127" s="3">
        <v>6300.05</v>
      </c>
      <c r="Q127" s="3"/>
      <c r="R127" s="3"/>
      <c r="S127" s="3"/>
      <c r="T127" s="3">
        <v>3928.88</v>
      </c>
    </row>
    <row r="128" spans="1:20" x14ac:dyDescent="0.3">
      <c r="A128" s="5" t="s">
        <v>676</v>
      </c>
      <c r="B128" s="3">
        <v>149.46715116279071</v>
      </c>
      <c r="J128" s="6">
        <v>465.21</v>
      </c>
      <c r="K128" s="3">
        <v>1532.36</v>
      </c>
      <c r="M128" s="6">
        <v>24.1</v>
      </c>
      <c r="N128" s="3"/>
      <c r="O128" s="3"/>
      <c r="P128" s="3"/>
      <c r="Q128" s="3"/>
      <c r="R128" s="3"/>
      <c r="S128" s="3">
        <v>4786.2</v>
      </c>
      <c r="T128" s="3">
        <v>4786.2</v>
      </c>
    </row>
    <row r="129" spans="1:20" x14ac:dyDescent="0.3">
      <c r="A129" s="5" t="s">
        <v>677</v>
      </c>
      <c r="B129" s="3">
        <v>114.06364286857368</v>
      </c>
      <c r="J129" s="6">
        <v>466.26</v>
      </c>
      <c r="K129" s="3">
        <v>5414.01</v>
      </c>
      <c r="M129" s="6">
        <v>24.12</v>
      </c>
      <c r="N129" s="3">
        <v>6684.9</v>
      </c>
      <c r="O129" s="3"/>
      <c r="P129" s="3"/>
      <c r="Q129" s="3"/>
      <c r="R129" s="3">
        <v>4448.87</v>
      </c>
      <c r="S129" s="3"/>
      <c r="T129" s="3">
        <v>5566.8850000000002</v>
      </c>
    </row>
    <row r="130" spans="1:20" x14ac:dyDescent="0.3">
      <c r="A130" s="5" t="s">
        <v>678</v>
      </c>
      <c r="B130" s="3">
        <v>46.04992055084746</v>
      </c>
      <c r="J130" s="6">
        <v>467.89</v>
      </c>
      <c r="K130" s="3">
        <v>5595.52</v>
      </c>
      <c r="M130" s="6">
        <v>24.14</v>
      </c>
      <c r="N130" s="3"/>
      <c r="O130" s="3"/>
      <c r="P130" s="3"/>
      <c r="Q130" s="3">
        <v>5105.87</v>
      </c>
      <c r="R130" s="3"/>
      <c r="S130" s="3"/>
      <c r="T130" s="3">
        <v>5105.87</v>
      </c>
    </row>
    <row r="131" spans="1:20" x14ac:dyDescent="0.3">
      <c r="A131" s="5" t="s">
        <v>679</v>
      </c>
      <c r="B131" s="3">
        <v>602.4621485132659</v>
      </c>
      <c r="J131" s="6">
        <v>469.25</v>
      </c>
      <c r="K131" s="3">
        <v>3988.94</v>
      </c>
      <c r="M131" s="6">
        <v>24.23</v>
      </c>
      <c r="N131" s="3"/>
      <c r="O131" s="3">
        <v>1181.58</v>
      </c>
      <c r="P131" s="3"/>
      <c r="Q131" s="3"/>
      <c r="R131" s="3"/>
      <c r="S131" s="3"/>
      <c r="T131" s="3">
        <v>1181.58</v>
      </c>
    </row>
    <row r="132" spans="1:20" x14ac:dyDescent="0.3">
      <c r="A132" s="5" t="s">
        <v>680</v>
      </c>
      <c r="B132" s="3">
        <v>1131.2344291627946</v>
      </c>
      <c r="J132" s="6">
        <v>473.27</v>
      </c>
      <c r="K132" s="3">
        <v>4340.4399999999996</v>
      </c>
      <c r="M132" s="6">
        <v>24.25</v>
      </c>
      <c r="N132" s="3"/>
      <c r="O132" s="3"/>
      <c r="P132" s="3">
        <v>1803.3</v>
      </c>
      <c r="Q132" s="3"/>
      <c r="R132" s="3"/>
      <c r="S132" s="3"/>
      <c r="T132" s="3">
        <v>1803.3</v>
      </c>
    </row>
    <row r="133" spans="1:20" x14ac:dyDescent="0.3">
      <c r="A133" s="5" t="s">
        <v>681</v>
      </c>
      <c r="B133" s="3">
        <v>385.580015026296</v>
      </c>
      <c r="J133" s="6">
        <v>473.42</v>
      </c>
      <c r="K133" s="3">
        <v>3990.25</v>
      </c>
      <c r="M133" s="6">
        <v>24.29</v>
      </c>
      <c r="N133" s="3"/>
      <c r="O133" s="3"/>
      <c r="P133" s="3">
        <v>4423.83</v>
      </c>
      <c r="Q133" s="3"/>
      <c r="R133" s="3"/>
      <c r="S133" s="3"/>
      <c r="T133" s="3">
        <v>4423.83</v>
      </c>
    </row>
    <row r="134" spans="1:20" x14ac:dyDescent="0.3">
      <c r="A134" s="5" t="s">
        <v>682</v>
      </c>
      <c r="B134" s="3">
        <v>674.4492031872511</v>
      </c>
      <c r="J134" s="6">
        <v>476.38</v>
      </c>
      <c r="K134" s="3">
        <v>1454.29</v>
      </c>
      <c r="M134" s="6">
        <v>24.34</v>
      </c>
      <c r="N134" s="3"/>
      <c r="O134" s="3"/>
      <c r="P134" s="3">
        <v>4443.79</v>
      </c>
      <c r="Q134" s="3"/>
      <c r="R134" s="3"/>
      <c r="S134" s="3"/>
      <c r="T134" s="3">
        <v>4443.79</v>
      </c>
    </row>
    <row r="135" spans="1:20" x14ac:dyDescent="0.3">
      <c r="A135" s="5" t="s">
        <v>683</v>
      </c>
      <c r="B135" s="3">
        <v>150.16787827464339</v>
      </c>
      <c r="J135" s="6">
        <v>479.17</v>
      </c>
      <c r="K135" s="3">
        <v>6973.99</v>
      </c>
      <c r="M135" s="6">
        <v>24.36</v>
      </c>
      <c r="N135" s="3"/>
      <c r="O135" s="3"/>
      <c r="P135" s="3"/>
      <c r="Q135" s="3"/>
      <c r="R135" s="3"/>
      <c r="S135" s="3">
        <v>4259.1499999999996</v>
      </c>
      <c r="T135" s="3">
        <v>4259.1499999999996</v>
      </c>
    </row>
    <row r="136" spans="1:20" x14ac:dyDescent="0.3">
      <c r="A136" s="5" t="s">
        <v>684</v>
      </c>
      <c r="B136" s="3">
        <v>513.98700212701476</v>
      </c>
      <c r="J136" s="6">
        <v>480.97</v>
      </c>
      <c r="K136" s="3">
        <v>5702.58</v>
      </c>
      <c r="M136" s="6">
        <v>24.37</v>
      </c>
      <c r="N136" s="3"/>
      <c r="O136" s="3"/>
      <c r="P136" s="3"/>
      <c r="Q136" s="3"/>
      <c r="R136" s="3"/>
      <c r="S136" s="3">
        <v>3998.98</v>
      </c>
      <c r="T136" s="3">
        <v>3998.98</v>
      </c>
    </row>
    <row r="137" spans="1:20" x14ac:dyDescent="0.3">
      <c r="A137" s="5" t="s">
        <v>685</v>
      </c>
      <c r="B137" s="3">
        <v>513.07865955069076</v>
      </c>
      <c r="J137" s="6">
        <v>482.21</v>
      </c>
      <c r="K137" s="3">
        <v>5924.52</v>
      </c>
      <c r="M137" s="6">
        <v>24.38</v>
      </c>
      <c r="N137" s="3">
        <v>3932.2</v>
      </c>
      <c r="O137" s="3"/>
      <c r="P137" s="3"/>
      <c r="Q137" s="3"/>
      <c r="R137" s="3"/>
      <c r="S137" s="3"/>
      <c r="T137" s="3">
        <v>3932.2</v>
      </c>
    </row>
    <row r="138" spans="1:20" x14ac:dyDescent="0.3">
      <c r="A138" s="5" t="s">
        <v>686</v>
      </c>
      <c r="B138" s="3">
        <v>1056.0962008815093</v>
      </c>
      <c r="J138" s="6">
        <v>484.61</v>
      </c>
      <c r="K138" s="3">
        <v>4894.79</v>
      </c>
      <c r="M138" s="6">
        <v>24.41</v>
      </c>
      <c r="N138" s="3"/>
      <c r="O138" s="3"/>
      <c r="P138" s="3"/>
      <c r="Q138" s="3"/>
      <c r="R138" s="3">
        <v>2566.65</v>
      </c>
      <c r="S138" s="3"/>
      <c r="T138" s="3">
        <v>2566.65</v>
      </c>
    </row>
    <row r="139" spans="1:20" x14ac:dyDescent="0.3">
      <c r="A139" s="5" t="s">
        <v>687</v>
      </c>
      <c r="B139" s="3">
        <v>65.816091954022994</v>
      </c>
      <c r="J139" s="6">
        <v>485.73</v>
      </c>
      <c r="K139" s="3">
        <v>2435.48</v>
      </c>
      <c r="M139" s="6">
        <v>24.46</v>
      </c>
      <c r="N139" s="3"/>
      <c r="O139" s="3"/>
      <c r="P139" s="3"/>
      <c r="Q139" s="3"/>
      <c r="R139" s="3">
        <v>5744.44</v>
      </c>
      <c r="S139" s="3"/>
      <c r="T139" s="3">
        <v>5744.44</v>
      </c>
    </row>
    <row r="140" spans="1:20" x14ac:dyDescent="0.3">
      <c r="A140" s="5" t="s">
        <v>688</v>
      </c>
      <c r="B140" s="3">
        <v>2274.5767441860467</v>
      </c>
      <c r="J140" s="6">
        <v>488.1</v>
      </c>
      <c r="K140" s="3">
        <v>6009.78</v>
      </c>
      <c r="M140" s="6">
        <v>24.47</v>
      </c>
      <c r="N140" s="3"/>
      <c r="O140" s="3"/>
      <c r="P140" s="3"/>
      <c r="Q140" s="3"/>
      <c r="R140" s="3">
        <v>6938.65</v>
      </c>
      <c r="S140" s="3"/>
      <c r="T140" s="3">
        <v>6938.65</v>
      </c>
    </row>
    <row r="141" spans="1:20" x14ac:dyDescent="0.3">
      <c r="A141" s="5" t="s">
        <v>689</v>
      </c>
      <c r="B141" s="3">
        <v>307.97639678635318</v>
      </c>
      <c r="J141" s="6">
        <v>489.45</v>
      </c>
      <c r="K141" s="3">
        <v>6671.94</v>
      </c>
      <c r="M141" s="6">
        <v>24.48</v>
      </c>
      <c r="N141" s="3"/>
      <c r="O141" s="3"/>
      <c r="P141" s="3"/>
      <c r="Q141" s="3"/>
      <c r="R141" s="3">
        <v>1044.0899999999999</v>
      </c>
      <c r="S141" s="3"/>
      <c r="T141" s="3">
        <v>1044.0899999999999</v>
      </c>
    </row>
    <row r="142" spans="1:20" x14ac:dyDescent="0.3">
      <c r="A142" s="5" t="s">
        <v>690</v>
      </c>
      <c r="B142" s="3">
        <v>567.81993095615735</v>
      </c>
      <c r="J142" s="6">
        <v>489.78</v>
      </c>
      <c r="K142" s="3">
        <v>5517.04</v>
      </c>
      <c r="M142" s="6">
        <v>24.5</v>
      </c>
      <c r="N142" s="3">
        <v>4207.8100000000004</v>
      </c>
      <c r="O142" s="3"/>
      <c r="P142" s="3"/>
      <c r="Q142" s="3"/>
      <c r="R142" s="3"/>
      <c r="S142" s="3"/>
      <c r="T142" s="3">
        <v>4207.8100000000004</v>
      </c>
    </row>
    <row r="143" spans="1:20" x14ac:dyDescent="0.3">
      <c r="A143" s="5" t="s">
        <v>691</v>
      </c>
      <c r="B143" s="3">
        <v>625.08412159043428</v>
      </c>
      <c r="J143" s="6">
        <v>491.45</v>
      </c>
      <c r="K143" s="3">
        <v>2885.1</v>
      </c>
      <c r="M143" s="6">
        <v>24.51</v>
      </c>
      <c r="N143" s="3"/>
      <c r="O143" s="3"/>
      <c r="P143" s="3"/>
      <c r="Q143" s="3"/>
      <c r="R143" s="3">
        <v>2799.33</v>
      </c>
      <c r="S143" s="3"/>
      <c r="T143" s="3">
        <v>2799.33</v>
      </c>
    </row>
    <row r="144" spans="1:20" x14ac:dyDescent="0.3">
      <c r="A144" s="5" t="s">
        <v>692</v>
      </c>
      <c r="B144" s="3">
        <v>207.20198272147505</v>
      </c>
      <c r="J144" s="6">
        <v>498.87</v>
      </c>
      <c r="K144" s="3">
        <v>4326.8500000000004</v>
      </c>
      <c r="M144" s="6">
        <v>24.64</v>
      </c>
      <c r="N144" s="3"/>
      <c r="O144" s="3">
        <v>5190.88</v>
      </c>
      <c r="P144" s="3"/>
      <c r="Q144" s="3"/>
      <c r="R144" s="3"/>
      <c r="S144" s="3"/>
      <c r="T144" s="3">
        <v>5190.88</v>
      </c>
    </row>
    <row r="145" spans="1:20" x14ac:dyDescent="0.3">
      <c r="A145" s="5" t="s">
        <v>693</v>
      </c>
      <c r="B145" s="3">
        <v>142.4737099155943</v>
      </c>
      <c r="J145" s="6">
        <v>499.79</v>
      </c>
      <c r="K145" s="3">
        <v>5969.74</v>
      </c>
      <c r="M145" s="6">
        <v>24.66</v>
      </c>
      <c r="N145" s="3"/>
      <c r="O145" s="3"/>
      <c r="P145" s="3"/>
      <c r="Q145" s="3">
        <v>1219.32</v>
      </c>
      <c r="R145" s="3">
        <v>1924.47</v>
      </c>
      <c r="S145" s="3"/>
      <c r="T145" s="3">
        <v>1571.895</v>
      </c>
    </row>
    <row r="146" spans="1:20" x14ac:dyDescent="0.3">
      <c r="A146" s="5" t="s">
        <v>694</v>
      </c>
      <c r="B146" s="3">
        <v>2691.564293902738</v>
      </c>
      <c r="J146" s="6">
        <v>501.87</v>
      </c>
      <c r="K146" s="3">
        <v>3566.8</v>
      </c>
      <c r="M146" s="6">
        <v>24.69</v>
      </c>
      <c r="N146" s="3">
        <v>6762.47</v>
      </c>
      <c r="O146" s="3"/>
      <c r="P146" s="3"/>
      <c r="Q146" s="3"/>
      <c r="R146" s="3"/>
      <c r="S146" s="3"/>
      <c r="T146" s="3">
        <v>6762.47</v>
      </c>
    </row>
    <row r="147" spans="1:20" x14ac:dyDescent="0.3">
      <c r="A147" s="5" t="s">
        <v>695</v>
      </c>
      <c r="B147" s="3">
        <v>734.07326993915569</v>
      </c>
      <c r="J147" s="6">
        <v>502.32</v>
      </c>
      <c r="K147" s="3">
        <v>5976.74</v>
      </c>
      <c r="M147" s="6">
        <v>24.71</v>
      </c>
      <c r="N147" s="3"/>
      <c r="O147" s="3"/>
      <c r="P147" s="3"/>
      <c r="Q147" s="3">
        <v>3393.58</v>
      </c>
      <c r="R147" s="3"/>
      <c r="S147" s="3"/>
      <c r="T147" s="3">
        <v>3393.58</v>
      </c>
    </row>
    <row r="148" spans="1:20" x14ac:dyDescent="0.3">
      <c r="A148" s="5" t="s">
        <v>696</v>
      </c>
      <c r="B148" s="3">
        <v>1501.3771323928859</v>
      </c>
      <c r="J148" s="6">
        <v>503.35</v>
      </c>
      <c r="K148" s="3">
        <v>5592.61</v>
      </c>
      <c r="M148" s="6">
        <v>24.76</v>
      </c>
      <c r="N148" s="3"/>
      <c r="O148" s="3"/>
      <c r="P148" s="3">
        <v>6648.91</v>
      </c>
      <c r="Q148" s="3">
        <v>6454.01</v>
      </c>
      <c r="R148" s="3"/>
      <c r="S148" s="3"/>
      <c r="T148" s="3">
        <v>6551.46</v>
      </c>
    </row>
    <row r="149" spans="1:20" x14ac:dyDescent="0.3">
      <c r="A149" s="5" t="s">
        <v>697</v>
      </c>
      <c r="B149" s="3">
        <v>443.68840481290033</v>
      </c>
      <c r="J149" s="6">
        <v>510.08</v>
      </c>
      <c r="K149" s="3">
        <v>2196.8200000000002</v>
      </c>
      <c r="M149" s="6">
        <v>24.81</v>
      </c>
      <c r="N149" s="3"/>
      <c r="O149" s="3"/>
      <c r="P149" s="3"/>
      <c r="Q149" s="3"/>
      <c r="R149" s="3"/>
      <c r="S149" s="3">
        <v>5597.08</v>
      </c>
      <c r="T149" s="3">
        <v>5597.08</v>
      </c>
    </row>
    <row r="150" spans="1:20" x14ac:dyDescent="0.3">
      <c r="A150" s="5" t="s">
        <v>698</v>
      </c>
      <c r="B150" s="3">
        <v>254.8976722663991</v>
      </c>
      <c r="J150" s="6">
        <v>510.75</v>
      </c>
      <c r="K150" s="3">
        <v>1173.22</v>
      </c>
      <c r="M150" s="6">
        <v>24.85</v>
      </c>
      <c r="N150" s="3"/>
      <c r="O150" s="3"/>
      <c r="P150" s="3">
        <v>5414.01</v>
      </c>
      <c r="Q150" s="3"/>
      <c r="R150" s="3"/>
      <c r="S150" s="3"/>
      <c r="T150" s="3">
        <v>5414.01</v>
      </c>
    </row>
    <row r="151" spans="1:20" x14ac:dyDescent="0.3">
      <c r="A151" s="5" t="s">
        <v>699</v>
      </c>
      <c r="B151" s="3">
        <v>15.821174123681958</v>
      </c>
      <c r="J151" s="6">
        <v>511.38</v>
      </c>
      <c r="K151" s="3">
        <v>5824.02</v>
      </c>
      <c r="M151" s="6">
        <v>24.86</v>
      </c>
      <c r="N151" s="3"/>
      <c r="O151" s="3"/>
      <c r="P151" s="3"/>
      <c r="Q151" s="3"/>
      <c r="R151" s="3">
        <v>4354.1499999999996</v>
      </c>
      <c r="S151" s="3">
        <v>1154.68</v>
      </c>
      <c r="T151" s="3">
        <v>2754.415</v>
      </c>
    </row>
    <row r="152" spans="1:20" x14ac:dyDescent="0.3">
      <c r="A152" s="5" t="s">
        <v>700</v>
      </c>
      <c r="B152" s="3">
        <v>137.60545779137976</v>
      </c>
      <c r="J152" s="6">
        <v>514.52</v>
      </c>
      <c r="K152" s="3">
        <v>3402.71</v>
      </c>
      <c r="M152" s="6">
        <v>24.89</v>
      </c>
      <c r="N152" s="3"/>
      <c r="O152" s="3">
        <v>5362.62</v>
      </c>
      <c r="P152" s="3"/>
      <c r="Q152" s="3"/>
      <c r="R152" s="3"/>
      <c r="S152" s="3"/>
      <c r="T152" s="3">
        <v>5362.62</v>
      </c>
    </row>
    <row r="153" spans="1:20" x14ac:dyDescent="0.3">
      <c r="A153" s="5" t="s">
        <v>701</v>
      </c>
      <c r="B153" s="3">
        <v>65.654920556473087</v>
      </c>
      <c r="J153" s="6">
        <v>517.03</v>
      </c>
      <c r="K153" s="3">
        <v>5614.99</v>
      </c>
      <c r="M153" s="6">
        <v>24.91</v>
      </c>
      <c r="N153" s="3"/>
      <c r="O153" s="3"/>
      <c r="P153" s="3"/>
      <c r="Q153" s="3"/>
      <c r="R153" s="3"/>
      <c r="S153" s="3">
        <v>1413.56</v>
      </c>
      <c r="T153" s="3">
        <v>1413.56</v>
      </c>
    </row>
    <row r="154" spans="1:20" x14ac:dyDescent="0.3">
      <c r="A154" s="5" t="s">
        <v>702</v>
      </c>
      <c r="B154" s="3">
        <v>370.45531430806329</v>
      </c>
      <c r="J154" s="6">
        <v>519.32000000000005</v>
      </c>
      <c r="K154" s="3">
        <v>3294.92</v>
      </c>
      <c r="M154" s="6">
        <v>24.94</v>
      </c>
      <c r="N154" s="3"/>
      <c r="O154" s="3"/>
      <c r="P154" s="3"/>
      <c r="Q154" s="3"/>
      <c r="R154" s="3">
        <v>1389.56</v>
      </c>
      <c r="S154" s="3"/>
      <c r="T154" s="3">
        <v>1389.56</v>
      </c>
    </row>
    <row r="155" spans="1:20" x14ac:dyDescent="0.3">
      <c r="A155" s="5" t="s">
        <v>703</v>
      </c>
      <c r="B155" s="3">
        <v>228.03432508873112</v>
      </c>
      <c r="J155" s="6">
        <v>522.1</v>
      </c>
      <c r="K155" s="3">
        <v>6196.47</v>
      </c>
      <c r="M155" s="6">
        <v>25</v>
      </c>
      <c r="N155" s="3"/>
      <c r="O155" s="3"/>
      <c r="P155" s="3"/>
      <c r="Q155" s="3">
        <v>3615.31</v>
      </c>
      <c r="R155" s="3">
        <v>4143.78</v>
      </c>
      <c r="S155" s="3"/>
      <c r="T155" s="3">
        <v>3879.5450000000001</v>
      </c>
    </row>
    <row r="156" spans="1:20" x14ac:dyDescent="0.3">
      <c r="A156" s="5" t="s">
        <v>704</v>
      </c>
      <c r="B156" s="3">
        <v>448.87960210431572</v>
      </c>
      <c r="J156" s="6">
        <v>523.46</v>
      </c>
      <c r="K156" s="3">
        <v>5176.68</v>
      </c>
      <c r="M156" s="6">
        <v>25.03</v>
      </c>
      <c r="N156" s="3"/>
      <c r="O156" s="3">
        <v>1761.58</v>
      </c>
      <c r="P156" s="3"/>
      <c r="Q156" s="3"/>
      <c r="R156" s="3"/>
      <c r="S156" s="3"/>
      <c r="T156" s="3">
        <v>1761.58</v>
      </c>
    </row>
    <row r="157" spans="1:20" x14ac:dyDescent="0.3">
      <c r="A157" s="5" t="s">
        <v>705</v>
      </c>
      <c r="B157" s="3">
        <v>4385.0656756756762</v>
      </c>
      <c r="J157" s="6">
        <v>525.01</v>
      </c>
      <c r="K157" s="3">
        <v>3273.94</v>
      </c>
      <c r="M157" s="6">
        <v>25.04</v>
      </c>
      <c r="N157" s="3"/>
      <c r="O157" s="3"/>
      <c r="P157" s="3">
        <v>2435.48</v>
      </c>
      <c r="Q157" s="3"/>
      <c r="R157" s="3"/>
      <c r="S157" s="3"/>
      <c r="T157" s="3">
        <v>2435.48</v>
      </c>
    </row>
    <row r="158" spans="1:20" x14ac:dyDescent="0.3">
      <c r="A158" s="5" t="s">
        <v>706</v>
      </c>
      <c r="B158" s="3">
        <v>1872.4789958165925</v>
      </c>
      <c r="J158" s="6">
        <v>526.38</v>
      </c>
      <c r="K158" s="3">
        <v>4683.1899999999996</v>
      </c>
      <c r="M158" s="6">
        <v>25.06</v>
      </c>
      <c r="N158" s="3"/>
      <c r="O158" s="3"/>
      <c r="P158" s="3"/>
      <c r="Q158" s="3">
        <v>4483.88</v>
      </c>
      <c r="R158" s="3"/>
      <c r="S158" s="3"/>
      <c r="T158" s="3">
        <v>4483.88</v>
      </c>
    </row>
    <row r="159" spans="1:20" x14ac:dyDescent="0.3">
      <c r="A159" s="5" t="s">
        <v>707</v>
      </c>
      <c r="B159" s="3">
        <v>1017.6515802677208</v>
      </c>
      <c r="J159" s="6">
        <v>531.49</v>
      </c>
      <c r="K159" s="3">
        <v>3410.32</v>
      </c>
      <c r="M159" s="6">
        <v>25.08</v>
      </c>
      <c r="N159" s="3"/>
      <c r="O159" s="3"/>
      <c r="P159" s="3"/>
      <c r="Q159" s="3"/>
      <c r="R159" s="3">
        <v>5210.68</v>
      </c>
      <c r="S159" s="3"/>
      <c r="T159" s="3">
        <v>5210.68</v>
      </c>
    </row>
    <row r="160" spans="1:20" x14ac:dyDescent="0.3">
      <c r="A160" s="5" t="s">
        <v>708</v>
      </c>
      <c r="B160" s="3">
        <v>1893.951088728629</v>
      </c>
      <c r="J160" s="6">
        <v>531.91999999999996</v>
      </c>
      <c r="K160" s="3">
        <v>6172.83</v>
      </c>
      <c r="M160" s="6">
        <v>25.1</v>
      </c>
      <c r="N160" s="3"/>
      <c r="O160" s="3"/>
      <c r="P160" s="3">
        <v>6275.96</v>
      </c>
      <c r="Q160" s="3"/>
      <c r="R160" s="3"/>
      <c r="S160" s="3"/>
      <c r="T160" s="3">
        <v>6275.96</v>
      </c>
    </row>
    <row r="161" spans="1:20" x14ac:dyDescent="0.3">
      <c r="A161" s="5" t="s">
        <v>709</v>
      </c>
      <c r="B161" s="3">
        <v>263.45812867069168</v>
      </c>
      <c r="J161" s="6">
        <v>533.51</v>
      </c>
      <c r="K161" s="3">
        <v>2272.63</v>
      </c>
      <c r="M161" s="6">
        <v>25.14</v>
      </c>
      <c r="N161" s="3"/>
      <c r="O161" s="3"/>
      <c r="P161" s="3"/>
      <c r="Q161" s="3"/>
      <c r="R161" s="3"/>
      <c r="S161" s="3">
        <v>2744.97</v>
      </c>
      <c r="T161" s="3">
        <v>2744.97</v>
      </c>
    </row>
    <row r="162" spans="1:20" x14ac:dyDescent="0.3">
      <c r="A162" s="5" t="s">
        <v>710</v>
      </c>
      <c r="B162" s="3">
        <v>129.62820286745426</v>
      </c>
      <c r="J162" s="6">
        <v>538.72</v>
      </c>
      <c r="K162" s="3">
        <v>6665.13</v>
      </c>
      <c r="M162" s="6">
        <v>25.16</v>
      </c>
      <c r="N162" s="3">
        <v>5467.56</v>
      </c>
      <c r="O162" s="3"/>
      <c r="P162" s="3"/>
      <c r="Q162" s="3"/>
      <c r="R162" s="3"/>
      <c r="S162" s="3"/>
      <c r="T162" s="3">
        <v>5467.56</v>
      </c>
    </row>
    <row r="163" spans="1:20" x14ac:dyDescent="0.3">
      <c r="A163" s="5" t="s">
        <v>711</v>
      </c>
      <c r="B163" s="3">
        <v>192.86355884025014</v>
      </c>
      <c r="J163" s="6">
        <v>539.09</v>
      </c>
      <c r="K163" s="3">
        <v>1580.09</v>
      </c>
      <c r="M163" s="6">
        <v>25.18</v>
      </c>
      <c r="N163" s="3"/>
      <c r="O163" s="3">
        <v>4479.54</v>
      </c>
      <c r="P163" s="3"/>
      <c r="Q163" s="3"/>
      <c r="R163" s="3"/>
      <c r="S163" s="3"/>
      <c r="T163" s="3">
        <v>4479.54</v>
      </c>
    </row>
    <row r="164" spans="1:20" x14ac:dyDescent="0.3">
      <c r="A164" s="5" t="s">
        <v>712</v>
      </c>
      <c r="B164" s="3">
        <v>220.55280068008324</v>
      </c>
      <c r="J164" s="6">
        <v>543.07000000000005</v>
      </c>
      <c r="K164" s="3">
        <v>1515.13</v>
      </c>
      <c r="M164" s="6">
        <v>25.21</v>
      </c>
      <c r="N164" s="3"/>
      <c r="O164" s="3"/>
      <c r="P164" s="3"/>
      <c r="Q164" s="3"/>
      <c r="R164" s="3"/>
      <c r="S164" s="3">
        <v>2809.5</v>
      </c>
      <c r="T164" s="3">
        <v>2809.5</v>
      </c>
    </row>
    <row r="165" spans="1:20" x14ac:dyDescent="0.3">
      <c r="A165" s="5" t="s">
        <v>713</v>
      </c>
      <c r="B165" s="3">
        <v>1451.2028193325659</v>
      </c>
      <c r="J165" s="6">
        <v>543.08000000000004</v>
      </c>
      <c r="K165" s="3">
        <v>2801.58</v>
      </c>
      <c r="M165" s="6">
        <v>25.22</v>
      </c>
      <c r="N165" s="3">
        <v>1541</v>
      </c>
      <c r="O165" s="3"/>
      <c r="P165" s="3"/>
      <c r="Q165" s="3"/>
      <c r="R165" s="3"/>
      <c r="S165" s="3"/>
      <c r="T165" s="3">
        <v>1541</v>
      </c>
    </row>
    <row r="166" spans="1:20" x14ac:dyDescent="0.3">
      <c r="A166" s="5" t="s">
        <v>714</v>
      </c>
      <c r="B166" s="3">
        <v>258.9524862930333</v>
      </c>
      <c r="J166" s="6">
        <v>546.01</v>
      </c>
      <c r="K166" s="3">
        <v>4368.01</v>
      </c>
      <c r="M166" s="6">
        <v>25.27</v>
      </c>
      <c r="N166" s="3"/>
      <c r="O166" s="3"/>
      <c r="P166" s="3"/>
      <c r="Q166" s="3"/>
      <c r="R166" s="3"/>
      <c r="S166" s="3">
        <v>5395.51</v>
      </c>
      <c r="T166" s="3">
        <v>5395.51</v>
      </c>
    </row>
    <row r="167" spans="1:20" x14ac:dyDescent="0.3">
      <c r="A167" s="5" t="s">
        <v>715</v>
      </c>
      <c r="B167" s="3">
        <v>148.91763683878855</v>
      </c>
      <c r="J167" s="6">
        <v>549.96</v>
      </c>
      <c r="K167" s="3">
        <v>3821.84</v>
      </c>
      <c r="M167" s="6">
        <v>25.31</v>
      </c>
      <c r="N167" s="3">
        <v>3260.95</v>
      </c>
      <c r="O167" s="3"/>
      <c r="P167" s="3"/>
      <c r="Q167" s="3"/>
      <c r="R167" s="3"/>
      <c r="S167" s="3"/>
      <c r="T167" s="3">
        <v>3260.95</v>
      </c>
    </row>
    <row r="168" spans="1:20" x14ac:dyDescent="0.3">
      <c r="A168" s="5" t="s">
        <v>716</v>
      </c>
      <c r="B168" s="3">
        <v>155.66708171440422</v>
      </c>
      <c r="J168" s="6">
        <v>553.91</v>
      </c>
      <c r="K168" s="3">
        <v>4074.65</v>
      </c>
      <c r="M168" s="6">
        <v>25.39</v>
      </c>
      <c r="N168" s="3"/>
      <c r="O168" s="3"/>
      <c r="P168" s="3">
        <v>4402.26</v>
      </c>
      <c r="Q168" s="3"/>
      <c r="R168" s="3"/>
      <c r="S168" s="3"/>
      <c r="T168" s="3">
        <v>4402.26</v>
      </c>
    </row>
    <row r="169" spans="1:20" x14ac:dyDescent="0.3">
      <c r="A169" s="5" t="s">
        <v>570</v>
      </c>
      <c r="B169" s="3">
        <v>99662.875510177983</v>
      </c>
      <c r="J169" s="6">
        <v>559.54999999999995</v>
      </c>
      <c r="K169" s="3">
        <v>5337.3</v>
      </c>
      <c r="M169" s="6">
        <v>25.4</v>
      </c>
      <c r="N169" s="3"/>
      <c r="O169" s="3">
        <v>4378.87</v>
      </c>
      <c r="P169" s="3"/>
      <c r="Q169" s="3">
        <v>2900.07</v>
      </c>
      <c r="R169" s="3"/>
      <c r="S169" s="3"/>
      <c r="T169" s="3">
        <v>3639.4700000000003</v>
      </c>
    </row>
    <row r="170" spans="1:20" x14ac:dyDescent="0.3">
      <c r="J170" s="6">
        <v>560.88</v>
      </c>
      <c r="K170" s="3">
        <v>1603.16</v>
      </c>
      <c r="M170" s="6">
        <v>25.41</v>
      </c>
      <c r="N170" s="3"/>
      <c r="O170" s="3"/>
      <c r="P170" s="3"/>
      <c r="Q170" s="3">
        <v>1253.1199999999999</v>
      </c>
      <c r="R170" s="3"/>
      <c r="S170" s="3"/>
      <c r="T170" s="3">
        <v>1253.1199999999999</v>
      </c>
    </row>
    <row r="171" spans="1:20" x14ac:dyDescent="0.3">
      <c r="J171" s="6">
        <v>561.12</v>
      </c>
      <c r="K171" s="3">
        <v>3526.61</v>
      </c>
      <c r="M171" s="6">
        <v>25.48</v>
      </c>
      <c r="N171" s="3"/>
      <c r="O171" s="3"/>
      <c r="P171" s="3">
        <v>3153.51</v>
      </c>
      <c r="Q171" s="3"/>
      <c r="R171" s="3"/>
      <c r="S171" s="3"/>
      <c r="T171" s="3">
        <v>3153.51</v>
      </c>
    </row>
    <row r="172" spans="1:20" x14ac:dyDescent="0.3">
      <c r="J172" s="6">
        <v>562.19000000000005</v>
      </c>
      <c r="K172" s="3">
        <v>5933.99</v>
      </c>
      <c r="M172" s="6">
        <v>25.51</v>
      </c>
      <c r="N172" s="3"/>
      <c r="O172" s="3"/>
      <c r="P172" s="3">
        <v>4127.5950000000003</v>
      </c>
      <c r="Q172" s="3"/>
      <c r="R172" s="3"/>
      <c r="S172" s="3"/>
      <c r="T172" s="3">
        <v>4127.5950000000003</v>
      </c>
    </row>
    <row r="173" spans="1:20" x14ac:dyDescent="0.3">
      <c r="J173" s="6">
        <v>564.49</v>
      </c>
      <c r="K173" s="3">
        <v>5160.75</v>
      </c>
      <c r="M173" s="6">
        <v>25.52</v>
      </c>
      <c r="N173" s="3"/>
      <c r="O173" s="3"/>
      <c r="P173" s="3">
        <v>3976.89</v>
      </c>
      <c r="Q173" s="3"/>
      <c r="R173" s="3"/>
      <c r="S173" s="3"/>
      <c r="T173" s="3">
        <v>3976.89</v>
      </c>
    </row>
    <row r="174" spans="1:20" x14ac:dyDescent="0.3">
      <c r="J174" s="6">
        <v>570.70000000000005</v>
      </c>
      <c r="K174" s="3">
        <v>5334.48</v>
      </c>
      <c r="M174" s="6">
        <v>25.53</v>
      </c>
      <c r="N174" s="3"/>
      <c r="O174" s="3"/>
      <c r="P174" s="3">
        <v>5969.74</v>
      </c>
      <c r="Q174" s="3"/>
      <c r="R174" s="3"/>
      <c r="S174" s="3"/>
      <c r="T174" s="3">
        <v>5969.74</v>
      </c>
    </row>
    <row r="175" spans="1:20" x14ac:dyDescent="0.3">
      <c r="J175" s="6">
        <v>575.03</v>
      </c>
      <c r="K175" s="3">
        <v>1042.68</v>
      </c>
      <c r="M175" s="6">
        <v>25.58</v>
      </c>
      <c r="N175" s="3"/>
      <c r="O175" s="3">
        <v>6696.8</v>
      </c>
      <c r="P175" s="3"/>
      <c r="Q175" s="3"/>
      <c r="R175" s="3"/>
      <c r="S175" s="3"/>
      <c r="T175" s="3">
        <v>6696.8</v>
      </c>
    </row>
    <row r="176" spans="1:20" x14ac:dyDescent="0.3">
      <c r="J176" s="6">
        <v>576.48</v>
      </c>
      <c r="K176" s="3">
        <v>2832.76</v>
      </c>
      <c r="M176" s="6">
        <v>25.61</v>
      </c>
      <c r="N176" s="3"/>
      <c r="O176" s="3"/>
      <c r="P176" s="3"/>
      <c r="Q176" s="3">
        <v>5976.74</v>
      </c>
      <c r="R176" s="3"/>
      <c r="S176" s="3"/>
      <c r="T176" s="3">
        <v>5976.74</v>
      </c>
    </row>
    <row r="177" spans="10:20" x14ac:dyDescent="0.3">
      <c r="J177" s="6">
        <v>578.52</v>
      </c>
      <c r="K177" s="3">
        <v>4266.1000000000004</v>
      </c>
      <c r="M177" s="6">
        <v>25.69</v>
      </c>
      <c r="N177" s="3"/>
      <c r="O177" s="3"/>
      <c r="P177" s="3"/>
      <c r="Q177" s="3"/>
      <c r="R177" s="3"/>
      <c r="S177" s="3">
        <v>3696.31</v>
      </c>
      <c r="T177" s="3">
        <v>3696.31</v>
      </c>
    </row>
    <row r="178" spans="10:20" x14ac:dyDescent="0.3">
      <c r="J178" s="6">
        <v>579.84</v>
      </c>
      <c r="K178" s="3">
        <v>2771.15</v>
      </c>
      <c r="M178" s="6">
        <v>25.7</v>
      </c>
      <c r="N178" s="3"/>
      <c r="O178" s="3">
        <v>3384.9</v>
      </c>
      <c r="P178" s="3"/>
      <c r="Q178" s="3"/>
      <c r="R178" s="3"/>
      <c r="S178" s="3"/>
      <c r="T178" s="3">
        <v>3384.9</v>
      </c>
    </row>
    <row r="179" spans="10:20" x14ac:dyDescent="0.3">
      <c r="J179" s="6">
        <v>579.89</v>
      </c>
      <c r="K179" s="3">
        <v>6692.94</v>
      </c>
      <c r="M179" s="6">
        <v>25.71</v>
      </c>
      <c r="N179" s="3"/>
      <c r="O179" s="3">
        <v>1394.09</v>
      </c>
      <c r="P179" s="3"/>
      <c r="Q179" s="3"/>
      <c r="R179" s="3"/>
      <c r="S179" s="3"/>
      <c r="T179" s="3">
        <v>1394.09</v>
      </c>
    </row>
    <row r="180" spans="10:20" x14ac:dyDescent="0.3">
      <c r="J180" s="6">
        <v>580.38</v>
      </c>
      <c r="K180" s="3">
        <v>5744.44</v>
      </c>
      <c r="M180" s="6">
        <v>25.74</v>
      </c>
      <c r="N180" s="3"/>
      <c r="O180" s="3"/>
      <c r="P180" s="3"/>
      <c r="Q180" s="3"/>
      <c r="R180" s="3">
        <v>6544.79</v>
      </c>
      <c r="S180" s="3"/>
      <c r="T180" s="3">
        <v>6544.79</v>
      </c>
    </row>
    <row r="181" spans="10:20" x14ac:dyDescent="0.3">
      <c r="J181" s="6">
        <v>580.66</v>
      </c>
      <c r="K181" s="3">
        <v>2435.9899999999998</v>
      </c>
      <c r="M181" s="6">
        <v>25.79</v>
      </c>
      <c r="N181" s="3">
        <v>3297.83</v>
      </c>
      <c r="O181" s="3"/>
      <c r="P181" s="3"/>
      <c r="Q181" s="3"/>
      <c r="R181" s="3">
        <v>6582.83</v>
      </c>
      <c r="S181" s="3"/>
      <c r="T181" s="3">
        <v>4940.33</v>
      </c>
    </row>
    <row r="182" spans="10:20" x14ac:dyDescent="0.3">
      <c r="J182" s="6">
        <v>582.21</v>
      </c>
      <c r="K182" s="3">
        <v>6383.05</v>
      </c>
      <c r="M182" s="6">
        <v>25.8</v>
      </c>
      <c r="N182" s="3"/>
      <c r="O182" s="3"/>
      <c r="P182" s="3"/>
      <c r="Q182" s="3"/>
      <c r="R182" s="3">
        <v>2672.14</v>
      </c>
      <c r="S182" s="3"/>
      <c r="T182" s="3">
        <v>2672.14</v>
      </c>
    </row>
    <row r="183" spans="10:20" x14ac:dyDescent="0.3">
      <c r="J183" s="6">
        <v>583.98</v>
      </c>
      <c r="K183" s="3">
        <v>4778.59</v>
      </c>
      <c r="M183" s="6">
        <v>25.94</v>
      </c>
      <c r="N183" s="3">
        <v>2290.12</v>
      </c>
      <c r="O183" s="3"/>
      <c r="P183" s="3"/>
      <c r="Q183" s="3"/>
      <c r="R183" s="3"/>
      <c r="S183" s="3"/>
      <c r="T183" s="3">
        <v>2290.12</v>
      </c>
    </row>
    <row r="184" spans="10:20" x14ac:dyDescent="0.3">
      <c r="J184" s="6">
        <v>584.66</v>
      </c>
      <c r="K184" s="3">
        <v>4636.96</v>
      </c>
      <c r="M184" s="6">
        <v>25.95</v>
      </c>
      <c r="N184" s="3"/>
      <c r="O184" s="3"/>
      <c r="P184" s="3"/>
      <c r="Q184" s="3">
        <v>1648.59</v>
      </c>
      <c r="R184" s="3"/>
      <c r="S184" s="3"/>
      <c r="T184" s="3">
        <v>1648.59</v>
      </c>
    </row>
    <row r="185" spans="10:20" x14ac:dyDescent="0.3">
      <c r="J185" s="6">
        <v>589.99</v>
      </c>
      <c r="K185" s="3">
        <v>1035.3800000000001</v>
      </c>
      <c r="M185" s="6">
        <v>25.98</v>
      </c>
      <c r="N185" s="3"/>
      <c r="O185" s="3"/>
      <c r="P185" s="3">
        <v>5712</v>
      </c>
      <c r="Q185" s="3"/>
      <c r="R185" s="3"/>
      <c r="S185" s="3"/>
      <c r="T185" s="3">
        <v>5712</v>
      </c>
    </row>
    <row r="186" spans="10:20" x14ac:dyDescent="0.3">
      <c r="J186" s="6">
        <v>591.13</v>
      </c>
      <c r="K186" s="3">
        <v>4112.79</v>
      </c>
      <c r="M186" s="6">
        <v>26.06</v>
      </c>
      <c r="N186" s="3">
        <v>3065.59</v>
      </c>
      <c r="O186" s="3"/>
      <c r="P186" s="3"/>
      <c r="Q186" s="3"/>
      <c r="R186" s="3"/>
      <c r="S186" s="3"/>
      <c r="T186" s="3">
        <v>3065.59</v>
      </c>
    </row>
    <row r="187" spans="10:20" x14ac:dyDescent="0.3">
      <c r="J187" s="6">
        <v>593.05999999999995</v>
      </c>
      <c r="K187" s="3">
        <v>3086.62</v>
      </c>
      <c r="M187" s="6">
        <v>26.13</v>
      </c>
      <c r="N187" s="3">
        <v>3636.53</v>
      </c>
      <c r="O187" s="3"/>
      <c r="P187" s="3"/>
      <c r="Q187" s="3"/>
      <c r="R187" s="3"/>
      <c r="S187" s="3"/>
      <c r="T187" s="3">
        <v>3636.53</v>
      </c>
    </row>
    <row r="188" spans="10:20" x14ac:dyDescent="0.3">
      <c r="J188" s="6">
        <v>593.24</v>
      </c>
      <c r="K188" s="3">
        <v>2851.24</v>
      </c>
      <c r="M188" s="6">
        <v>26.19</v>
      </c>
      <c r="N188" s="3"/>
      <c r="O188" s="3">
        <v>4801.97</v>
      </c>
      <c r="P188" s="3"/>
      <c r="Q188" s="3"/>
      <c r="R188" s="3"/>
      <c r="S188" s="3"/>
      <c r="T188" s="3">
        <v>4801.97</v>
      </c>
    </row>
    <row r="189" spans="10:20" x14ac:dyDescent="0.3">
      <c r="J189" s="6">
        <v>594.15</v>
      </c>
      <c r="K189" s="3">
        <v>4647.58</v>
      </c>
      <c r="M189" s="6">
        <v>26.25</v>
      </c>
      <c r="N189" s="3"/>
      <c r="O189" s="3"/>
      <c r="P189" s="3">
        <v>6968.08</v>
      </c>
      <c r="Q189" s="3"/>
      <c r="R189" s="3"/>
      <c r="S189" s="3">
        <v>6028.09</v>
      </c>
      <c r="T189" s="3">
        <v>6498.085</v>
      </c>
    </row>
    <row r="190" spans="10:20" x14ac:dyDescent="0.3">
      <c r="J190" s="6">
        <v>594.57000000000005</v>
      </c>
      <c r="K190" s="3">
        <v>6803.62</v>
      </c>
      <c r="M190" s="6">
        <v>26.3</v>
      </c>
      <c r="N190" s="3"/>
      <c r="O190" s="3"/>
      <c r="P190" s="3"/>
      <c r="Q190" s="3"/>
      <c r="R190" s="3">
        <v>5445.81</v>
      </c>
      <c r="S190" s="3"/>
      <c r="T190" s="3">
        <v>5445.81</v>
      </c>
    </row>
    <row r="191" spans="10:20" x14ac:dyDescent="0.3">
      <c r="J191" s="6">
        <v>595</v>
      </c>
      <c r="K191" s="3">
        <v>6544.79</v>
      </c>
      <c r="M191" s="6">
        <v>26.33</v>
      </c>
      <c r="N191" s="3"/>
      <c r="O191" s="3"/>
      <c r="P191" s="3"/>
      <c r="Q191" s="3"/>
      <c r="R191" s="3">
        <v>1979.62</v>
      </c>
      <c r="S191" s="3"/>
      <c r="T191" s="3">
        <v>1979.62</v>
      </c>
    </row>
    <row r="192" spans="10:20" x14ac:dyDescent="0.3">
      <c r="J192" s="6">
        <v>596.99</v>
      </c>
      <c r="K192" s="3">
        <v>2054.73</v>
      </c>
      <c r="M192" s="6">
        <v>26.39</v>
      </c>
      <c r="N192" s="3"/>
      <c r="O192" s="3"/>
      <c r="P192" s="3">
        <v>4860.04</v>
      </c>
      <c r="Q192" s="3"/>
      <c r="R192" s="3"/>
      <c r="S192" s="3"/>
      <c r="T192" s="3">
        <v>4860.04</v>
      </c>
    </row>
    <row r="193" spans="10:20" x14ac:dyDescent="0.3">
      <c r="J193" s="6">
        <v>597.47</v>
      </c>
      <c r="K193" s="3">
        <v>1491.62</v>
      </c>
      <c r="M193" s="6">
        <v>26.41</v>
      </c>
      <c r="N193" s="3"/>
      <c r="O193" s="3"/>
      <c r="P193" s="3"/>
      <c r="Q193" s="3"/>
      <c r="R193" s="3"/>
      <c r="S193" s="3">
        <v>5378.37</v>
      </c>
      <c r="T193" s="3">
        <v>5378.37</v>
      </c>
    </row>
    <row r="194" spans="10:20" x14ac:dyDescent="0.3">
      <c r="J194" s="6">
        <v>600.78</v>
      </c>
      <c r="K194" s="3">
        <v>1557.71</v>
      </c>
      <c r="M194" s="6">
        <v>26.46</v>
      </c>
      <c r="N194" s="3"/>
      <c r="O194" s="3"/>
      <c r="P194" s="3"/>
      <c r="Q194" s="3">
        <v>3985.14</v>
      </c>
      <c r="R194" s="3">
        <v>6057.1</v>
      </c>
      <c r="S194" s="3"/>
      <c r="T194" s="3">
        <v>5021.12</v>
      </c>
    </row>
    <row r="195" spans="10:20" x14ac:dyDescent="0.3">
      <c r="J195" s="6">
        <v>603.91</v>
      </c>
      <c r="K195" s="3">
        <v>6639.47</v>
      </c>
      <c r="M195" s="6">
        <v>26.47</v>
      </c>
      <c r="N195" s="3"/>
      <c r="O195" s="3"/>
      <c r="P195" s="3">
        <v>3894.25</v>
      </c>
      <c r="Q195" s="3"/>
      <c r="R195" s="3"/>
      <c r="S195" s="3"/>
      <c r="T195" s="3">
        <v>3894.25</v>
      </c>
    </row>
    <row r="196" spans="10:20" x14ac:dyDescent="0.3">
      <c r="J196" s="6">
        <v>606.42999999999995</v>
      </c>
      <c r="K196" s="3">
        <v>6688.38</v>
      </c>
      <c r="M196" s="6">
        <v>26.52</v>
      </c>
      <c r="N196" s="3">
        <v>4544.99</v>
      </c>
      <c r="O196" s="3"/>
      <c r="P196" s="3"/>
      <c r="Q196" s="3"/>
      <c r="R196" s="3"/>
      <c r="S196" s="3"/>
      <c r="T196" s="3">
        <v>4544.99</v>
      </c>
    </row>
    <row r="197" spans="10:20" x14ac:dyDescent="0.3">
      <c r="J197" s="6">
        <v>610.80999999999995</v>
      </c>
      <c r="K197" s="3">
        <v>4518.79</v>
      </c>
      <c r="M197" s="6">
        <v>26.54</v>
      </c>
      <c r="N197" s="3"/>
      <c r="O197" s="3"/>
      <c r="P197" s="3"/>
      <c r="Q197" s="3">
        <v>6000.13</v>
      </c>
      <c r="R197" s="3"/>
      <c r="S197" s="3"/>
      <c r="T197" s="3">
        <v>6000.13</v>
      </c>
    </row>
    <row r="198" spans="10:20" x14ac:dyDescent="0.3">
      <c r="J198" s="6">
        <v>611.71</v>
      </c>
      <c r="K198" s="3">
        <v>5419.39</v>
      </c>
      <c r="M198" s="6">
        <v>26.57</v>
      </c>
      <c r="N198" s="3"/>
      <c r="O198" s="3"/>
      <c r="P198" s="3"/>
      <c r="Q198" s="3"/>
      <c r="R198" s="3">
        <v>5132.07</v>
      </c>
      <c r="S198" s="3"/>
      <c r="T198" s="3">
        <v>5132.07</v>
      </c>
    </row>
    <row r="199" spans="10:20" x14ac:dyDescent="0.3">
      <c r="J199" s="6">
        <v>614.47</v>
      </c>
      <c r="K199" s="3">
        <v>2143.4699999999998</v>
      </c>
      <c r="M199" s="6">
        <v>26.6</v>
      </c>
      <c r="N199" s="3"/>
      <c r="O199" s="3"/>
      <c r="P199" s="3"/>
      <c r="Q199" s="3">
        <v>6692.94</v>
      </c>
      <c r="R199" s="3"/>
      <c r="S199" s="3"/>
      <c r="T199" s="3">
        <v>6692.94</v>
      </c>
    </row>
    <row r="200" spans="10:20" x14ac:dyDescent="0.3">
      <c r="J200" s="6">
        <v>615.5</v>
      </c>
      <c r="K200" s="3">
        <v>1540.8</v>
      </c>
      <c r="M200" s="6">
        <v>26.61</v>
      </c>
      <c r="N200" s="3"/>
      <c r="O200" s="3"/>
      <c r="P200" s="3">
        <v>5106.78</v>
      </c>
      <c r="Q200" s="3"/>
      <c r="R200" s="3"/>
      <c r="S200" s="3"/>
      <c r="T200" s="3">
        <v>5106.78</v>
      </c>
    </row>
    <row r="201" spans="10:20" x14ac:dyDescent="0.3">
      <c r="J201" s="6">
        <v>615.62</v>
      </c>
      <c r="K201" s="3">
        <v>3721.26</v>
      </c>
      <c r="M201" s="6">
        <v>26.73</v>
      </c>
      <c r="N201" s="3">
        <v>6707.75</v>
      </c>
      <c r="O201" s="3">
        <v>4279.6899999999996</v>
      </c>
      <c r="P201" s="3"/>
      <c r="Q201" s="3"/>
      <c r="R201" s="3"/>
      <c r="S201" s="3"/>
      <c r="T201" s="3">
        <v>5493.7199999999993</v>
      </c>
    </row>
    <row r="202" spans="10:20" x14ac:dyDescent="0.3">
      <c r="J202" s="6">
        <v>616.59</v>
      </c>
      <c r="K202" s="3">
        <v>2587.94</v>
      </c>
      <c r="M202" s="6">
        <v>26.74</v>
      </c>
      <c r="N202" s="3"/>
      <c r="O202" s="3"/>
      <c r="P202" s="3"/>
      <c r="Q202" s="3"/>
      <c r="R202" s="3"/>
      <c r="S202" s="3">
        <v>4095.46</v>
      </c>
      <c r="T202" s="3">
        <v>4095.46</v>
      </c>
    </row>
    <row r="203" spans="10:20" x14ac:dyDescent="0.3">
      <c r="J203" s="6">
        <v>618.57000000000005</v>
      </c>
      <c r="K203" s="3">
        <v>4932.3999999999996</v>
      </c>
      <c r="M203" s="6">
        <v>26.75</v>
      </c>
      <c r="N203" s="3"/>
      <c r="O203" s="3"/>
      <c r="P203" s="3"/>
      <c r="Q203" s="3"/>
      <c r="R203" s="3">
        <v>5614.99</v>
      </c>
      <c r="S203" s="3"/>
      <c r="T203" s="3">
        <v>5614.99</v>
      </c>
    </row>
    <row r="204" spans="10:20" x14ac:dyDescent="0.3">
      <c r="J204" s="6">
        <v>620.24</v>
      </c>
      <c r="K204" s="3">
        <v>1904.1</v>
      </c>
      <c r="M204" s="6">
        <v>26.76</v>
      </c>
      <c r="N204" s="3"/>
      <c r="O204" s="3"/>
      <c r="P204" s="3"/>
      <c r="Q204" s="3"/>
      <c r="R204" s="3">
        <v>4370.8999999999996</v>
      </c>
      <c r="S204" s="3"/>
      <c r="T204" s="3">
        <v>4370.8999999999996</v>
      </c>
    </row>
    <row r="205" spans="10:20" x14ac:dyDescent="0.3">
      <c r="J205" s="6">
        <v>623.41</v>
      </c>
      <c r="K205" s="3">
        <v>6474.69</v>
      </c>
      <c r="M205" s="6">
        <v>26.78</v>
      </c>
      <c r="N205" s="3"/>
      <c r="O205" s="3"/>
      <c r="P205" s="3">
        <v>1381.35</v>
      </c>
      <c r="Q205" s="3">
        <v>2713.46</v>
      </c>
      <c r="R205" s="3"/>
      <c r="S205" s="3"/>
      <c r="T205" s="3">
        <v>2047.405</v>
      </c>
    </row>
    <row r="206" spans="10:20" x14ac:dyDescent="0.3">
      <c r="J206" s="6">
        <v>624.30999999999995</v>
      </c>
      <c r="K206" s="3">
        <v>3073.39</v>
      </c>
      <c r="M206" s="6">
        <v>26.82</v>
      </c>
      <c r="N206" s="3">
        <v>3711.95</v>
      </c>
      <c r="O206" s="3"/>
      <c r="P206" s="3"/>
      <c r="Q206" s="3"/>
      <c r="R206" s="3"/>
      <c r="S206" s="3"/>
      <c r="T206" s="3">
        <v>3711.95</v>
      </c>
    </row>
    <row r="207" spans="10:20" x14ac:dyDescent="0.3">
      <c r="J207" s="6">
        <v>627.20000000000005</v>
      </c>
      <c r="K207" s="3">
        <v>2650.92</v>
      </c>
      <c r="M207" s="6">
        <v>26.85</v>
      </c>
      <c r="N207" s="3"/>
      <c r="O207" s="3"/>
      <c r="P207" s="3"/>
      <c r="Q207" s="3"/>
      <c r="R207" s="3"/>
      <c r="S207" s="3">
        <v>3073.39</v>
      </c>
      <c r="T207" s="3">
        <v>3073.39</v>
      </c>
    </row>
    <row r="208" spans="10:20" x14ac:dyDescent="0.3">
      <c r="J208" s="6">
        <v>627.61</v>
      </c>
      <c r="K208" s="3">
        <v>3945.69</v>
      </c>
      <c r="M208" s="6">
        <v>26.88</v>
      </c>
      <c r="N208" s="3"/>
      <c r="O208" s="3">
        <v>5726.67</v>
      </c>
      <c r="P208" s="3">
        <v>2832.76</v>
      </c>
      <c r="Q208" s="3"/>
      <c r="R208" s="3"/>
      <c r="S208" s="3"/>
      <c r="T208" s="3">
        <v>4279.7150000000001</v>
      </c>
    </row>
    <row r="209" spans="10:20" x14ac:dyDescent="0.3">
      <c r="J209" s="6">
        <v>628.96</v>
      </c>
      <c r="K209" s="3">
        <v>3524.1</v>
      </c>
      <c r="M209" s="6">
        <v>26.9</v>
      </c>
      <c r="N209" s="3"/>
      <c r="O209" s="3">
        <v>5118.03</v>
      </c>
      <c r="P209" s="3"/>
      <c r="Q209" s="3"/>
      <c r="R209" s="3"/>
      <c r="S209" s="3"/>
      <c r="T209" s="3">
        <v>5118.03</v>
      </c>
    </row>
    <row r="210" spans="10:20" x14ac:dyDescent="0.3">
      <c r="J210" s="6">
        <v>630.69000000000005</v>
      </c>
      <c r="K210" s="3">
        <v>5776.86</v>
      </c>
      <c r="M210" s="6">
        <v>26.92</v>
      </c>
      <c r="N210" s="3"/>
      <c r="O210" s="3"/>
      <c r="P210" s="3"/>
      <c r="Q210" s="3">
        <v>4403.76</v>
      </c>
      <c r="R210" s="3"/>
      <c r="S210" s="3"/>
      <c r="T210" s="3">
        <v>4403.76</v>
      </c>
    </row>
    <row r="211" spans="10:20" x14ac:dyDescent="0.3">
      <c r="J211" s="6">
        <v>634.77</v>
      </c>
      <c r="K211" s="3">
        <v>5611.59</v>
      </c>
      <c r="M211" s="6">
        <v>26.94</v>
      </c>
      <c r="N211" s="3">
        <v>3616.74</v>
      </c>
      <c r="O211" s="3"/>
      <c r="P211" s="3"/>
      <c r="Q211" s="3"/>
      <c r="R211" s="3"/>
      <c r="S211" s="3"/>
      <c r="T211" s="3">
        <v>3616.74</v>
      </c>
    </row>
    <row r="212" spans="10:20" x14ac:dyDescent="0.3">
      <c r="J212" s="6">
        <v>637.49</v>
      </c>
      <c r="K212" s="3">
        <v>4518.62</v>
      </c>
      <c r="M212" s="6">
        <v>26.95</v>
      </c>
      <c r="N212" s="3"/>
      <c r="O212" s="3"/>
      <c r="P212" s="3"/>
      <c r="Q212" s="3"/>
      <c r="R212" s="3">
        <v>1724.42</v>
      </c>
      <c r="S212" s="3"/>
      <c r="T212" s="3">
        <v>1724.42</v>
      </c>
    </row>
    <row r="213" spans="10:20" x14ac:dyDescent="0.3">
      <c r="J213" s="6">
        <v>638.72</v>
      </c>
      <c r="K213" s="3">
        <v>4350.1000000000004</v>
      </c>
      <c r="M213" s="6">
        <v>26.97</v>
      </c>
      <c r="N213" s="3"/>
      <c r="O213" s="3"/>
      <c r="P213" s="3"/>
      <c r="Q213" s="3"/>
      <c r="R213" s="3"/>
      <c r="S213" s="3">
        <v>6770.43</v>
      </c>
      <c r="T213" s="3">
        <v>6770.43</v>
      </c>
    </row>
    <row r="214" spans="10:20" x14ac:dyDescent="0.3">
      <c r="J214" s="6">
        <v>639.74</v>
      </c>
      <c r="K214" s="3">
        <v>3216.41</v>
      </c>
      <c r="M214" s="6">
        <v>27</v>
      </c>
      <c r="N214" s="3"/>
      <c r="O214" s="3">
        <v>1784.6</v>
      </c>
      <c r="P214" s="3"/>
      <c r="Q214" s="3"/>
      <c r="R214" s="3"/>
      <c r="S214" s="3"/>
      <c r="T214" s="3">
        <v>1784.6</v>
      </c>
    </row>
    <row r="215" spans="10:20" x14ac:dyDescent="0.3">
      <c r="J215" s="6">
        <v>640.19000000000005</v>
      </c>
      <c r="K215" s="3">
        <v>3477.69</v>
      </c>
      <c r="M215" s="6">
        <v>27.02</v>
      </c>
      <c r="N215" s="3"/>
      <c r="O215" s="3">
        <v>6665.13</v>
      </c>
      <c r="P215" s="3"/>
      <c r="Q215" s="3"/>
      <c r="R215" s="3"/>
      <c r="S215" s="3"/>
      <c r="T215" s="3">
        <v>6665.13</v>
      </c>
    </row>
    <row r="216" spans="10:20" x14ac:dyDescent="0.3">
      <c r="J216" s="6">
        <v>642.16</v>
      </c>
      <c r="K216" s="3">
        <v>2261.1</v>
      </c>
      <c r="M216" s="6">
        <v>27.04</v>
      </c>
      <c r="N216" s="3"/>
      <c r="O216" s="3">
        <v>1757.68</v>
      </c>
      <c r="P216" s="3"/>
      <c r="Q216" s="3"/>
      <c r="R216" s="3"/>
      <c r="S216" s="3"/>
      <c r="T216" s="3">
        <v>1757.68</v>
      </c>
    </row>
    <row r="217" spans="10:20" x14ac:dyDescent="0.3">
      <c r="J217" s="6">
        <v>643.91</v>
      </c>
      <c r="K217" s="3">
        <v>2838.98</v>
      </c>
      <c r="M217" s="6">
        <v>27.07</v>
      </c>
      <c r="N217" s="3"/>
      <c r="O217" s="3"/>
      <c r="P217" s="3">
        <v>3169.61</v>
      </c>
      <c r="Q217" s="3"/>
      <c r="R217" s="3"/>
      <c r="S217" s="3"/>
      <c r="T217" s="3">
        <v>3169.61</v>
      </c>
    </row>
    <row r="218" spans="10:20" x14ac:dyDescent="0.3">
      <c r="J218" s="6">
        <v>646.54999999999995</v>
      </c>
      <c r="K218" s="3">
        <v>4479.54</v>
      </c>
      <c r="M218" s="6">
        <v>27.08</v>
      </c>
      <c r="N218" s="3"/>
      <c r="O218" s="3"/>
      <c r="P218" s="3"/>
      <c r="Q218" s="3"/>
      <c r="R218" s="3">
        <v>2276.56</v>
      </c>
      <c r="S218" s="3"/>
      <c r="T218" s="3">
        <v>2276.56</v>
      </c>
    </row>
    <row r="219" spans="10:20" x14ac:dyDescent="0.3">
      <c r="J219" s="6">
        <v>654.08000000000004</v>
      </c>
      <c r="K219" s="3">
        <v>3696.31</v>
      </c>
      <c r="M219" s="6">
        <v>27.11</v>
      </c>
      <c r="N219" s="3"/>
      <c r="O219" s="3">
        <v>2689.1</v>
      </c>
      <c r="P219" s="3"/>
      <c r="Q219" s="3">
        <v>5066.17</v>
      </c>
      <c r="R219" s="3"/>
      <c r="S219" s="3"/>
      <c r="T219" s="3">
        <v>3877.6350000000002</v>
      </c>
    </row>
    <row r="220" spans="10:20" x14ac:dyDescent="0.3">
      <c r="J220" s="6">
        <v>654.39</v>
      </c>
      <c r="K220" s="3">
        <v>5172.34</v>
      </c>
      <c r="M220" s="6">
        <v>27.13</v>
      </c>
      <c r="N220" s="3"/>
      <c r="O220" s="3"/>
      <c r="P220" s="3">
        <v>6843.04</v>
      </c>
      <c r="Q220" s="3"/>
      <c r="R220" s="3"/>
      <c r="S220" s="3"/>
      <c r="T220" s="3">
        <v>6843.04</v>
      </c>
    </row>
    <row r="221" spans="10:20" x14ac:dyDescent="0.3">
      <c r="J221" s="6">
        <v>656.75</v>
      </c>
      <c r="K221" s="3">
        <v>1607.74</v>
      </c>
      <c r="M221" s="6">
        <v>27.19</v>
      </c>
      <c r="N221" s="3"/>
      <c r="O221" s="3">
        <v>1891.79</v>
      </c>
      <c r="P221" s="3"/>
      <c r="Q221" s="3"/>
      <c r="R221" s="3"/>
      <c r="S221" s="3"/>
      <c r="T221" s="3">
        <v>1891.79</v>
      </c>
    </row>
    <row r="222" spans="10:20" x14ac:dyDescent="0.3">
      <c r="J222" s="6">
        <v>670.01</v>
      </c>
      <c r="K222" s="3">
        <v>3615.31</v>
      </c>
      <c r="M222" s="6">
        <v>27.2</v>
      </c>
      <c r="N222" s="3">
        <v>4154.88</v>
      </c>
      <c r="O222" s="3"/>
      <c r="P222" s="3"/>
      <c r="Q222" s="3"/>
      <c r="R222" s="3"/>
      <c r="S222" s="3"/>
      <c r="T222" s="3">
        <v>4154.88</v>
      </c>
    </row>
    <row r="223" spans="10:20" x14ac:dyDescent="0.3">
      <c r="J223" s="6">
        <v>671.76</v>
      </c>
      <c r="K223" s="3">
        <v>1015.41</v>
      </c>
      <c r="M223" s="6">
        <v>27.21</v>
      </c>
      <c r="N223" s="3"/>
      <c r="O223" s="3"/>
      <c r="P223" s="3">
        <v>1510.47</v>
      </c>
      <c r="Q223" s="3"/>
      <c r="R223" s="3"/>
      <c r="S223" s="3"/>
      <c r="T223" s="3">
        <v>1510.47</v>
      </c>
    </row>
    <row r="224" spans="10:20" x14ac:dyDescent="0.3">
      <c r="J224" s="6">
        <v>672.4</v>
      </c>
      <c r="K224" s="3">
        <v>1314.95</v>
      </c>
      <c r="M224" s="6">
        <v>27.28</v>
      </c>
      <c r="N224" s="3"/>
      <c r="O224" s="3"/>
      <c r="P224" s="3"/>
      <c r="Q224" s="3"/>
      <c r="R224" s="3"/>
      <c r="S224" s="3">
        <v>1400.08</v>
      </c>
      <c r="T224" s="3">
        <v>1400.08</v>
      </c>
    </row>
    <row r="225" spans="10:20" x14ac:dyDescent="0.3">
      <c r="J225" s="6">
        <v>672.97</v>
      </c>
      <c r="K225" s="3">
        <v>6294.3</v>
      </c>
      <c r="M225" s="6">
        <v>27.3</v>
      </c>
      <c r="N225" s="3"/>
      <c r="O225" s="3"/>
      <c r="P225" s="3"/>
      <c r="Q225" s="3">
        <v>1682.91</v>
      </c>
      <c r="R225" s="3"/>
      <c r="S225" s="3"/>
      <c r="T225" s="3">
        <v>1682.91</v>
      </c>
    </row>
    <row r="226" spans="10:20" x14ac:dyDescent="0.3">
      <c r="J226" s="6">
        <v>673.52</v>
      </c>
      <c r="K226" s="3">
        <v>2799.33</v>
      </c>
      <c r="M226" s="6">
        <v>27.47</v>
      </c>
      <c r="N226" s="3">
        <v>2587.94</v>
      </c>
      <c r="O226" s="3"/>
      <c r="P226" s="3"/>
      <c r="Q226" s="3"/>
      <c r="R226" s="3"/>
      <c r="S226" s="3"/>
      <c r="T226" s="3">
        <v>2587.94</v>
      </c>
    </row>
    <row r="227" spans="10:20" x14ac:dyDescent="0.3">
      <c r="J227" s="6">
        <v>674.27</v>
      </c>
      <c r="K227" s="3">
        <v>2529.34</v>
      </c>
      <c r="M227" s="6">
        <v>27.49</v>
      </c>
      <c r="N227" s="3"/>
      <c r="O227" s="3"/>
      <c r="P227" s="3">
        <v>2771.15</v>
      </c>
      <c r="Q227" s="3"/>
      <c r="R227" s="3"/>
      <c r="S227" s="3"/>
      <c r="T227" s="3">
        <v>2771.15</v>
      </c>
    </row>
    <row r="228" spans="10:20" x14ac:dyDescent="0.3">
      <c r="J228" s="6">
        <v>676.01</v>
      </c>
      <c r="K228" s="3">
        <v>1561</v>
      </c>
      <c r="M228" s="6">
        <v>27.51</v>
      </c>
      <c r="N228" s="3"/>
      <c r="O228" s="3"/>
      <c r="P228" s="3"/>
      <c r="Q228" s="3">
        <v>6096.65</v>
      </c>
      <c r="R228" s="3"/>
      <c r="S228" s="3"/>
      <c r="T228" s="3">
        <v>6096.65</v>
      </c>
    </row>
    <row r="229" spans="10:20" x14ac:dyDescent="0.3">
      <c r="J229" s="6">
        <v>677.4</v>
      </c>
      <c r="K229" s="3">
        <v>4800.93</v>
      </c>
      <c r="M229" s="6">
        <v>27.53</v>
      </c>
      <c r="N229" s="3"/>
      <c r="O229" s="3"/>
      <c r="P229" s="3">
        <v>3857.57</v>
      </c>
      <c r="Q229" s="3"/>
      <c r="R229" s="3">
        <v>6206.32</v>
      </c>
      <c r="S229" s="3"/>
      <c r="T229" s="3">
        <v>5031.9449999999997</v>
      </c>
    </row>
    <row r="230" spans="10:20" x14ac:dyDescent="0.3">
      <c r="J230" s="6">
        <v>678.65</v>
      </c>
      <c r="K230" s="3">
        <v>1181.58</v>
      </c>
      <c r="M230" s="6">
        <v>27.56</v>
      </c>
      <c r="N230" s="3"/>
      <c r="O230" s="3">
        <v>6527.15</v>
      </c>
      <c r="P230" s="3"/>
      <c r="Q230" s="3"/>
      <c r="R230" s="3"/>
      <c r="S230" s="3"/>
      <c r="T230" s="3">
        <v>6527.15</v>
      </c>
    </row>
    <row r="231" spans="10:20" x14ac:dyDescent="0.3">
      <c r="J231" s="6">
        <v>678.98</v>
      </c>
      <c r="K231" s="3">
        <v>4860.04</v>
      </c>
      <c r="M231" s="6">
        <v>27.6</v>
      </c>
      <c r="N231" s="3"/>
      <c r="O231" s="3"/>
      <c r="P231" s="3"/>
      <c r="Q231" s="3">
        <v>2207.12</v>
      </c>
      <c r="R231" s="3"/>
      <c r="S231" s="3"/>
      <c r="T231" s="3">
        <v>2207.12</v>
      </c>
    </row>
    <row r="232" spans="10:20" x14ac:dyDescent="0.3">
      <c r="J232" s="6">
        <v>682.93</v>
      </c>
      <c r="K232" s="3">
        <v>5417.28</v>
      </c>
      <c r="M232" s="6">
        <v>27.61</v>
      </c>
      <c r="N232" s="3"/>
      <c r="O232" s="3"/>
      <c r="P232" s="3"/>
      <c r="Q232" s="3">
        <v>4181.1899999999996</v>
      </c>
      <c r="R232" s="3">
        <v>3653.25</v>
      </c>
      <c r="S232" s="3"/>
      <c r="T232" s="3">
        <v>3917.22</v>
      </c>
    </row>
    <row r="233" spans="10:20" x14ac:dyDescent="0.3">
      <c r="J233" s="6">
        <v>683.5</v>
      </c>
      <c r="K233" s="3">
        <v>2074.87</v>
      </c>
      <c r="M233" s="6">
        <v>27.64</v>
      </c>
      <c r="N233" s="3">
        <v>6386.94</v>
      </c>
      <c r="O233" s="3"/>
      <c r="P233" s="3"/>
      <c r="Q233" s="3"/>
      <c r="R233" s="3"/>
      <c r="S233" s="3"/>
      <c r="T233" s="3">
        <v>6386.94</v>
      </c>
    </row>
    <row r="234" spans="10:20" x14ac:dyDescent="0.3">
      <c r="J234" s="6">
        <v>686.7</v>
      </c>
      <c r="K234" s="3">
        <v>4890.34</v>
      </c>
      <c r="M234" s="6">
        <v>27.66</v>
      </c>
      <c r="N234" s="3"/>
      <c r="O234" s="3"/>
      <c r="P234" s="3"/>
      <c r="Q234" s="3"/>
      <c r="R234" s="3"/>
      <c r="S234" s="3">
        <v>3715.57</v>
      </c>
      <c r="T234" s="3">
        <v>3715.57</v>
      </c>
    </row>
    <row r="235" spans="10:20" x14ac:dyDescent="0.3">
      <c r="J235" s="6">
        <v>688.12</v>
      </c>
      <c r="K235" s="3">
        <v>5106.78</v>
      </c>
      <c r="M235" s="6">
        <v>27.67</v>
      </c>
      <c r="N235" s="3"/>
      <c r="O235" s="3"/>
      <c r="P235" s="3"/>
      <c r="Q235" s="3"/>
      <c r="R235" s="3"/>
      <c r="S235" s="3">
        <v>2261.1</v>
      </c>
      <c r="T235" s="3">
        <v>2261.1</v>
      </c>
    </row>
    <row r="236" spans="10:20" x14ac:dyDescent="0.3">
      <c r="J236" s="6">
        <v>693.08</v>
      </c>
      <c r="K236" s="3">
        <v>5395.51</v>
      </c>
      <c r="M236" s="6">
        <v>27.71</v>
      </c>
      <c r="N236" s="3">
        <v>1895.92</v>
      </c>
      <c r="O236" s="3"/>
      <c r="P236" s="3"/>
      <c r="Q236" s="3"/>
      <c r="R236" s="3"/>
      <c r="S236" s="3"/>
      <c r="T236" s="3">
        <v>1895.92</v>
      </c>
    </row>
    <row r="237" spans="10:20" x14ac:dyDescent="0.3">
      <c r="J237" s="6">
        <v>693.47</v>
      </c>
      <c r="K237" s="3">
        <v>4261.01</v>
      </c>
      <c r="M237" s="6">
        <v>27.74</v>
      </c>
      <c r="N237" s="3">
        <v>1064.26</v>
      </c>
      <c r="O237" s="3"/>
      <c r="P237" s="3"/>
      <c r="Q237" s="3"/>
      <c r="R237" s="3"/>
      <c r="S237" s="3">
        <v>2474.33</v>
      </c>
      <c r="T237" s="3">
        <v>1769.2950000000001</v>
      </c>
    </row>
    <row r="238" spans="10:20" x14ac:dyDescent="0.3">
      <c r="J238" s="6">
        <v>698.49</v>
      </c>
      <c r="K238" s="3">
        <v>2125.5</v>
      </c>
      <c r="M238" s="6">
        <v>27.79</v>
      </c>
      <c r="N238" s="3">
        <v>5461.74</v>
      </c>
      <c r="O238" s="3"/>
      <c r="P238" s="3"/>
      <c r="Q238" s="3"/>
      <c r="R238" s="3"/>
      <c r="S238" s="3"/>
      <c r="T238" s="3">
        <v>5461.74</v>
      </c>
    </row>
    <row r="239" spans="10:20" x14ac:dyDescent="0.3">
      <c r="J239" s="6">
        <v>698.89</v>
      </c>
      <c r="K239" s="3">
        <v>1891.79</v>
      </c>
      <c r="M239" s="6">
        <v>27.82</v>
      </c>
      <c r="N239" s="3"/>
      <c r="O239" s="3"/>
      <c r="P239" s="3"/>
      <c r="Q239" s="3"/>
      <c r="R239" s="3">
        <v>1515.13</v>
      </c>
      <c r="S239" s="3"/>
      <c r="T239" s="3">
        <v>1515.13</v>
      </c>
    </row>
    <row r="240" spans="10:20" x14ac:dyDescent="0.3">
      <c r="J240" s="6">
        <v>700.47</v>
      </c>
      <c r="K240" s="3">
        <v>5132.07</v>
      </c>
      <c r="M240" s="6">
        <v>27.84</v>
      </c>
      <c r="N240" s="3"/>
      <c r="O240" s="3"/>
      <c r="P240" s="3"/>
      <c r="Q240" s="3"/>
      <c r="R240" s="3">
        <v>1413.06</v>
      </c>
      <c r="S240" s="3"/>
      <c r="T240" s="3">
        <v>1413.06</v>
      </c>
    </row>
    <row r="241" spans="10:20" x14ac:dyDescent="0.3">
      <c r="J241" s="6">
        <v>702.01</v>
      </c>
      <c r="K241" s="3">
        <v>6582.83</v>
      </c>
      <c r="M241" s="6">
        <v>27.85</v>
      </c>
      <c r="N241" s="3"/>
      <c r="O241" s="3">
        <v>1136.49</v>
      </c>
      <c r="P241" s="3"/>
      <c r="Q241" s="3"/>
      <c r="R241" s="3"/>
      <c r="S241" s="3"/>
      <c r="T241" s="3">
        <v>1136.49</v>
      </c>
    </row>
    <row r="242" spans="10:20" x14ac:dyDescent="0.3">
      <c r="J242" s="6">
        <v>702.17</v>
      </c>
      <c r="K242" s="3">
        <v>1803.29</v>
      </c>
      <c r="M242" s="6">
        <v>27.9</v>
      </c>
      <c r="N242" s="3"/>
      <c r="O242" s="3"/>
      <c r="P242" s="3">
        <v>3942.62</v>
      </c>
      <c r="Q242" s="3"/>
      <c r="R242" s="3"/>
      <c r="S242" s="3"/>
      <c r="T242" s="3">
        <v>3942.62</v>
      </c>
    </row>
    <row r="243" spans="10:20" x14ac:dyDescent="0.3">
      <c r="J243" s="6">
        <v>707.07</v>
      </c>
      <c r="K243" s="3">
        <v>6185.5</v>
      </c>
      <c r="M243" s="6">
        <v>27.94</v>
      </c>
      <c r="N243" s="3"/>
      <c r="O243" s="3"/>
      <c r="P243" s="3"/>
      <c r="Q243" s="3">
        <v>3532.96</v>
      </c>
      <c r="R243" s="3"/>
      <c r="S243" s="3"/>
      <c r="T243" s="3">
        <v>3532.96</v>
      </c>
    </row>
    <row r="244" spans="10:20" x14ac:dyDescent="0.3">
      <c r="J244" s="6">
        <v>713.24</v>
      </c>
      <c r="K244" s="3">
        <v>1381.35</v>
      </c>
      <c r="M244" s="6">
        <v>27.97</v>
      </c>
      <c r="N244" s="3"/>
      <c r="O244" s="3"/>
      <c r="P244" s="3"/>
      <c r="Q244" s="3"/>
      <c r="R244" s="3"/>
      <c r="S244" s="3">
        <v>5776.86</v>
      </c>
      <c r="T244" s="3">
        <v>5776.86</v>
      </c>
    </row>
    <row r="245" spans="10:20" x14ac:dyDescent="0.3">
      <c r="J245" s="6">
        <v>713.25</v>
      </c>
      <c r="K245" s="3">
        <v>4062.25</v>
      </c>
      <c r="M245" s="6">
        <v>27.99</v>
      </c>
      <c r="N245" s="3"/>
      <c r="O245" s="3"/>
      <c r="P245" s="3"/>
      <c r="Q245" s="3"/>
      <c r="R245" s="3">
        <v>5780.55</v>
      </c>
      <c r="S245" s="3"/>
      <c r="T245" s="3">
        <v>5780.55</v>
      </c>
    </row>
    <row r="246" spans="10:20" x14ac:dyDescent="0.3">
      <c r="J246" s="6">
        <v>713.28</v>
      </c>
      <c r="K246" s="3">
        <v>5066.17</v>
      </c>
      <c r="M246" s="6">
        <v>28.05</v>
      </c>
      <c r="N246" s="3">
        <v>6803.62</v>
      </c>
      <c r="O246" s="3"/>
      <c r="P246" s="3"/>
      <c r="Q246" s="3"/>
      <c r="R246" s="3"/>
      <c r="S246" s="3"/>
      <c r="T246" s="3">
        <v>6803.62</v>
      </c>
    </row>
    <row r="247" spans="10:20" x14ac:dyDescent="0.3">
      <c r="J247" s="6">
        <v>717.29</v>
      </c>
      <c r="K247" s="3">
        <v>2566.88</v>
      </c>
      <c r="M247" s="6">
        <v>28.07</v>
      </c>
      <c r="N247" s="3"/>
      <c r="O247" s="3"/>
      <c r="P247" s="3">
        <v>1035.3800000000001</v>
      </c>
      <c r="Q247" s="3"/>
      <c r="R247" s="3"/>
      <c r="S247" s="3"/>
      <c r="T247" s="3">
        <v>1035.3800000000001</v>
      </c>
    </row>
    <row r="248" spans="10:20" x14ac:dyDescent="0.3">
      <c r="J248" s="6">
        <v>717.58</v>
      </c>
      <c r="K248" s="3">
        <v>6970.9</v>
      </c>
      <c r="M248" s="6">
        <v>28.1</v>
      </c>
      <c r="N248" s="3"/>
      <c r="O248" s="3"/>
      <c r="P248" s="3"/>
      <c r="Q248" s="3"/>
      <c r="R248" s="3"/>
      <c r="S248" s="3">
        <v>6639.47</v>
      </c>
      <c r="T248" s="3">
        <v>6639.47</v>
      </c>
    </row>
    <row r="249" spans="10:20" x14ac:dyDescent="0.3">
      <c r="J249" s="6">
        <v>722.34</v>
      </c>
      <c r="K249" s="3">
        <v>1219.32</v>
      </c>
      <c r="M249" s="6">
        <v>28.11</v>
      </c>
      <c r="N249" s="3"/>
      <c r="O249" s="3"/>
      <c r="P249" s="3"/>
      <c r="Q249" s="3">
        <v>5824.02</v>
      </c>
      <c r="R249" s="3"/>
      <c r="S249" s="3"/>
      <c r="T249" s="3">
        <v>5824.02</v>
      </c>
    </row>
    <row r="250" spans="10:20" x14ac:dyDescent="0.3">
      <c r="J250" s="6">
        <v>726.06</v>
      </c>
      <c r="K250" s="3">
        <v>1513.68</v>
      </c>
      <c r="M250" s="6">
        <v>28.17</v>
      </c>
      <c r="N250" s="3">
        <v>3660.3</v>
      </c>
      <c r="O250" s="3"/>
      <c r="P250" s="3"/>
      <c r="Q250" s="3"/>
      <c r="R250" s="3"/>
      <c r="S250" s="3"/>
      <c r="T250" s="3">
        <v>3660.3</v>
      </c>
    </row>
    <row r="251" spans="10:20" x14ac:dyDescent="0.3">
      <c r="J251" s="6">
        <v>730.48</v>
      </c>
      <c r="K251" s="3">
        <v>5445.81</v>
      </c>
      <c r="M251" s="6">
        <v>28.26</v>
      </c>
      <c r="N251" s="3"/>
      <c r="O251" s="3"/>
      <c r="P251" s="3"/>
      <c r="Q251" s="3"/>
      <c r="R251" s="3"/>
      <c r="S251" s="3">
        <v>2923.8</v>
      </c>
      <c r="T251" s="3">
        <v>2923.8</v>
      </c>
    </row>
    <row r="252" spans="10:20" x14ac:dyDescent="0.3">
      <c r="J252" s="6">
        <v>730.92</v>
      </c>
      <c r="K252" s="3">
        <v>2459.83</v>
      </c>
      <c r="M252" s="6">
        <v>28.27</v>
      </c>
      <c r="N252" s="3"/>
      <c r="O252" s="3"/>
      <c r="P252" s="3"/>
      <c r="Q252" s="3"/>
      <c r="R252" s="3"/>
      <c r="S252" s="3">
        <v>5000.53</v>
      </c>
      <c r="T252" s="3">
        <v>5000.53</v>
      </c>
    </row>
    <row r="253" spans="10:20" x14ac:dyDescent="0.3">
      <c r="J253" s="6">
        <v>731.43</v>
      </c>
      <c r="K253" s="3">
        <v>4688.49</v>
      </c>
      <c r="M253" s="6">
        <v>28.28</v>
      </c>
      <c r="N253" s="3">
        <v>1173.22</v>
      </c>
      <c r="O253" s="3"/>
      <c r="P253" s="3"/>
      <c r="Q253" s="3"/>
      <c r="R253" s="3">
        <v>5172.34</v>
      </c>
      <c r="S253" s="3"/>
      <c r="T253" s="3">
        <v>3172.78</v>
      </c>
    </row>
    <row r="254" spans="10:20" x14ac:dyDescent="0.3">
      <c r="J254" s="6">
        <v>733.13</v>
      </c>
      <c r="K254" s="3">
        <v>3260.95</v>
      </c>
      <c r="M254" s="6">
        <v>28.29</v>
      </c>
      <c r="N254" s="3"/>
      <c r="O254" s="3"/>
      <c r="P254" s="3"/>
      <c r="Q254" s="3"/>
      <c r="R254" s="3"/>
      <c r="S254" s="3">
        <v>6298.64</v>
      </c>
      <c r="T254" s="3">
        <v>6298.64</v>
      </c>
    </row>
    <row r="255" spans="10:20" x14ac:dyDescent="0.3">
      <c r="J255" s="6">
        <v>734.97</v>
      </c>
      <c r="K255" s="3">
        <v>2923.86</v>
      </c>
      <c r="M255" s="6">
        <v>28.32</v>
      </c>
      <c r="N255" s="3"/>
      <c r="O255" s="3"/>
      <c r="P255" s="3"/>
      <c r="Q255" s="3">
        <v>3538.23</v>
      </c>
      <c r="R255" s="3"/>
      <c r="S255" s="3"/>
      <c r="T255" s="3">
        <v>3538.23</v>
      </c>
    </row>
    <row r="256" spans="10:20" x14ac:dyDescent="0.3">
      <c r="J256" s="6">
        <v>736.56</v>
      </c>
      <c r="K256" s="3">
        <v>3541.45</v>
      </c>
      <c r="M256" s="6">
        <v>28.33</v>
      </c>
      <c r="N256" s="3"/>
      <c r="O256" s="3"/>
      <c r="P256" s="3"/>
      <c r="Q256" s="3">
        <v>5017.63</v>
      </c>
      <c r="R256" s="3"/>
      <c r="S256" s="3"/>
      <c r="T256" s="3">
        <v>5017.63</v>
      </c>
    </row>
    <row r="257" spans="10:20" x14ac:dyDescent="0.3">
      <c r="J257" s="6">
        <v>739.2</v>
      </c>
      <c r="K257" s="3">
        <v>6762.47</v>
      </c>
      <c r="M257" s="6">
        <v>28.46</v>
      </c>
      <c r="N257" s="3"/>
      <c r="O257" s="3"/>
      <c r="P257" s="3"/>
      <c r="Q257" s="3"/>
      <c r="R257" s="3">
        <v>4062.25</v>
      </c>
      <c r="S257" s="3"/>
      <c r="T257" s="3">
        <v>4062.25</v>
      </c>
    </row>
    <row r="258" spans="10:20" x14ac:dyDescent="0.3">
      <c r="J258" s="6">
        <v>742.61</v>
      </c>
      <c r="K258" s="3">
        <v>2283.7199999999998</v>
      </c>
      <c r="M258" s="6">
        <v>28.48</v>
      </c>
      <c r="N258" s="3"/>
      <c r="O258" s="3">
        <v>2603.9499999999998</v>
      </c>
      <c r="P258" s="3">
        <v>1959.4</v>
      </c>
      <c r="Q258" s="3"/>
      <c r="R258" s="3"/>
      <c r="S258" s="3"/>
      <c r="T258" s="3">
        <v>2281.6750000000002</v>
      </c>
    </row>
    <row r="259" spans="10:20" x14ac:dyDescent="0.3">
      <c r="J259" s="6">
        <v>743.3</v>
      </c>
      <c r="K259" s="3">
        <v>3010.25</v>
      </c>
      <c r="M259" s="6">
        <v>28.52</v>
      </c>
      <c r="N259" s="3">
        <v>5855.8</v>
      </c>
      <c r="O259" s="3"/>
      <c r="P259" s="3"/>
      <c r="Q259" s="3"/>
      <c r="R259" s="3"/>
      <c r="S259" s="3"/>
      <c r="T259" s="3">
        <v>5855.8</v>
      </c>
    </row>
    <row r="260" spans="10:20" x14ac:dyDescent="0.3">
      <c r="J260" s="6">
        <v>743.47</v>
      </c>
      <c r="K260" s="3">
        <v>2276.56</v>
      </c>
      <c r="M260" s="6">
        <v>28.59</v>
      </c>
      <c r="N260" s="3">
        <v>5647.64</v>
      </c>
      <c r="O260" s="3"/>
      <c r="P260" s="3">
        <v>2686.51</v>
      </c>
      <c r="Q260" s="3"/>
      <c r="R260" s="3"/>
      <c r="S260" s="3"/>
      <c r="T260" s="3">
        <v>4167.0750000000007</v>
      </c>
    </row>
    <row r="261" spans="10:20" x14ac:dyDescent="0.3">
      <c r="J261" s="6">
        <v>747.81</v>
      </c>
      <c r="K261" s="3">
        <v>4615.1499999999996</v>
      </c>
      <c r="M261" s="6">
        <v>28.64</v>
      </c>
      <c r="N261" s="3"/>
      <c r="O261" s="3"/>
      <c r="P261" s="3"/>
      <c r="Q261" s="3"/>
      <c r="R261" s="3"/>
      <c r="S261" s="3">
        <v>6771.47</v>
      </c>
      <c r="T261" s="3">
        <v>6771.47</v>
      </c>
    </row>
    <row r="262" spans="10:20" x14ac:dyDescent="0.3">
      <c r="J262" s="6">
        <v>747.87</v>
      </c>
      <c r="K262" s="3">
        <v>6352.12</v>
      </c>
      <c r="M262" s="6">
        <v>28.65</v>
      </c>
      <c r="N262" s="3"/>
      <c r="O262" s="3"/>
      <c r="P262" s="3">
        <v>3988.94</v>
      </c>
      <c r="Q262" s="3"/>
      <c r="R262" s="3"/>
      <c r="S262" s="3"/>
      <c r="T262" s="3">
        <v>3988.94</v>
      </c>
    </row>
    <row r="263" spans="10:20" x14ac:dyDescent="0.3">
      <c r="J263" s="6">
        <v>750.1</v>
      </c>
      <c r="K263" s="3">
        <v>4383.1000000000004</v>
      </c>
      <c r="M263" s="6">
        <v>28.66</v>
      </c>
      <c r="N263" s="3">
        <v>4581.46</v>
      </c>
      <c r="O263" s="3"/>
      <c r="P263" s="3"/>
      <c r="Q263" s="3"/>
      <c r="R263" s="3">
        <v>3333.01</v>
      </c>
      <c r="S263" s="3">
        <v>6960.9</v>
      </c>
      <c r="T263" s="3">
        <v>4958.456666666666</v>
      </c>
    </row>
    <row r="264" spans="10:20" x14ac:dyDescent="0.3">
      <c r="J264" s="6">
        <v>750.24</v>
      </c>
      <c r="K264" s="3">
        <v>4378.87</v>
      </c>
      <c r="M264" s="6">
        <v>28.7</v>
      </c>
      <c r="N264" s="3"/>
      <c r="O264" s="3">
        <v>6185.5</v>
      </c>
      <c r="P264" s="3"/>
      <c r="Q264" s="3"/>
      <c r="R264" s="3"/>
      <c r="S264" s="3"/>
      <c r="T264" s="3">
        <v>6185.5</v>
      </c>
    </row>
    <row r="265" spans="10:20" x14ac:dyDescent="0.3">
      <c r="J265" s="6">
        <v>756.36</v>
      </c>
      <c r="K265" s="3">
        <v>5362.62</v>
      </c>
      <c r="M265" s="6">
        <v>28.72</v>
      </c>
      <c r="N265" s="3"/>
      <c r="O265" s="3">
        <v>5766.34</v>
      </c>
      <c r="P265" s="3"/>
      <c r="Q265" s="3"/>
      <c r="R265" s="3"/>
      <c r="S265" s="3"/>
      <c r="T265" s="3">
        <v>5766.34</v>
      </c>
    </row>
    <row r="266" spans="10:20" x14ac:dyDescent="0.3">
      <c r="J266" s="6">
        <v>757.55</v>
      </c>
      <c r="K266" s="3">
        <v>6293.01</v>
      </c>
      <c r="M266" s="6">
        <v>28.74</v>
      </c>
      <c r="N266" s="3"/>
      <c r="O266" s="3"/>
      <c r="P266" s="3">
        <v>5690.11</v>
      </c>
      <c r="Q266" s="3"/>
      <c r="R266" s="3"/>
      <c r="S266" s="3"/>
      <c r="T266" s="3">
        <v>5690.11</v>
      </c>
    </row>
    <row r="267" spans="10:20" x14ac:dyDescent="0.3">
      <c r="J267" s="6">
        <v>758.63</v>
      </c>
      <c r="K267" s="3">
        <v>2566.65</v>
      </c>
      <c r="M267" s="6">
        <v>28.83</v>
      </c>
      <c r="N267" s="3"/>
      <c r="O267" s="3"/>
      <c r="P267" s="3"/>
      <c r="Q267" s="3"/>
      <c r="R267" s="3">
        <v>4261.01</v>
      </c>
      <c r="S267" s="3"/>
      <c r="T267" s="3">
        <v>4261.01</v>
      </c>
    </row>
    <row r="268" spans="10:20" x14ac:dyDescent="0.3">
      <c r="J268" s="6">
        <v>759.11</v>
      </c>
      <c r="K268" s="3">
        <v>1541</v>
      </c>
      <c r="M268" s="6">
        <v>28.86</v>
      </c>
      <c r="N268" s="3"/>
      <c r="O268" s="3">
        <v>1837.23</v>
      </c>
      <c r="P268" s="3"/>
      <c r="Q268" s="3"/>
      <c r="R268" s="3"/>
      <c r="S268" s="3"/>
      <c r="T268" s="3">
        <v>1837.23</v>
      </c>
    </row>
    <row r="269" spans="10:20" x14ac:dyDescent="0.3">
      <c r="J269" s="6">
        <v>759.88</v>
      </c>
      <c r="K269" s="3">
        <v>2497.1799999999998</v>
      </c>
      <c r="M269" s="6">
        <v>28.89</v>
      </c>
      <c r="N269" s="3"/>
      <c r="O269" s="3"/>
      <c r="P269" s="3"/>
      <c r="Q269" s="3"/>
      <c r="R269" s="3">
        <v>4544.75</v>
      </c>
      <c r="S269" s="3"/>
      <c r="T269" s="3">
        <v>4544.75</v>
      </c>
    </row>
    <row r="270" spans="10:20" x14ac:dyDescent="0.3">
      <c r="J270" s="6">
        <v>760.35</v>
      </c>
      <c r="K270" s="3">
        <v>5467.56</v>
      </c>
      <c r="M270" s="6">
        <v>28.91</v>
      </c>
      <c r="N270" s="3"/>
      <c r="O270" s="3"/>
      <c r="P270" s="3"/>
      <c r="Q270" s="3"/>
      <c r="R270" s="3">
        <v>4647.58</v>
      </c>
      <c r="S270" s="3"/>
      <c r="T270" s="3">
        <v>4647.58</v>
      </c>
    </row>
    <row r="271" spans="10:20" x14ac:dyDescent="0.3">
      <c r="J271" s="6">
        <v>761.27</v>
      </c>
      <c r="K271" s="3">
        <v>3715.57</v>
      </c>
      <c r="M271" s="6">
        <v>28.92</v>
      </c>
      <c r="N271" s="3"/>
      <c r="O271" s="3"/>
      <c r="P271" s="3"/>
      <c r="Q271" s="3"/>
      <c r="R271" s="3"/>
      <c r="S271" s="3">
        <v>2024.14</v>
      </c>
      <c r="T271" s="3">
        <v>2024.14</v>
      </c>
    </row>
    <row r="272" spans="10:20" x14ac:dyDescent="0.3">
      <c r="J272" s="6">
        <v>762.33</v>
      </c>
      <c r="K272" s="3">
        <v>1545.37</v>
      </c>
      <c r="M272" s="6">
        <v>28.95</v>
      </c>
      <c r="N272" s="3"/>
      <c r="O272" s="3"/>
      <c r="P272" s="3"/>
      <c r="Q272" s="3"/>
      <c r="R272" s="3">
        <v>4074.65</v>
      </c>
      <c r="S272" s="3"/>
      <c r="T272" s="3">
        <v>4074.65</v>
      </c>
    </row>
    <row r="273" spans="10:20" x14ac:dyDescent="0.3">
      <c r="J273" s="6">
        <v>763.6</v>
      </c>
      <c r="K273" s="3">
        <v>2080.23</v>
      </c>
      <c r="M273" s="6">
        <v>28.96</v>
      </c>
      <c r="N273" s="3">
        <v>6681.75</v>
      </c>
      <c r="O273" s="3"/>
      <c r="P273" s="3"/>
      <c r="Q273" s="3"/>
      <c r="R273" s="3"/>
      <c r="S273" s="3"/>
      <c r="T273" s="3">
        <v>6681.75</v>
      </c>
    </row>
    <row r="274" spans="10:20" x14ac:dyDescent="0.3">
      <c r="J274" s="6">
        <v>763.74</v>
      </c>
      <c r="K274" s="3">
        <v>6707.75</v>
      </c>
      <c r="M274" s="6">
        <v>29.13</v>
      </c>
      <c r="N274" s="3"/>
      <c r="O274" s="3">
        <v>6280.81</v>
      </c>
      <c r="P274" s="3"/>
      <c r="Q274" s="3"/>
      <c r="R274" s="3"/>
      <c r="S274" s="3"/>
      <c r="T274" s="3">
        <v>6280.81</v>
      </c>
    </row>
    <row r="275" spans="10:20" x14ac:dyDescent="0.3">
      <c r="J275" s="6">
        <v>764.84</v>
      </c>
      <c r="K275" s="3">
        <v>6454.01</v>
      </c>
      <c r="M275" s="6">
        <v>29.14</v>
      </c>
      <c r="N275" s="3"/>
      <c r="O275" s="3"/>
      <c r="P275" s="3"/>
      <c r="Q275" s="3"/>
      <c r="R275" s="3">
        <v>3188.99</v>
      </c>
      <c r="S275" s="3"/>
      <c r="T275" s="3">
        <v>3188.99</v>
      </c>
    </row>
    <row r="276" spans="10:20" x14ac:dyDescent="0.3">
      <c r="J276" s="6">
        <v>765.93</v>
      </c>
      <c r="K276" s="3">
        <v>2809.5</v>
      </c>
      <c r="M276" s="6">
        <v>29.18</v>
      </c>
      <c r="N276" s="3"/>
      <c r="O276" s="3"/>
      <c r="P276" s="3"/>
      <c r="Q276" s="3">
        <v>1157.7</v>
      </c>
      <c r="R276" s="3"/>
      <c r="S276" s="3"/>
      <c r="T276" s="3">
        <v>1157.7</v>
      </c>
    </row>
    <row r="277" spans="10:20" x14ac:dyDescent="0.3">
      <c r="J277" s="6">
        <v>767.82</v>
      </c>
      <c r="K277" s="3">
        <v>4032.57</v>
      </c>
      <c r="M277" s="6">
        <v>29.21</v>
      </c>
      <c r="N277" s="3"/>
      <c r="O277" s="3">
        <v>1480.24</v>
      </c>
      <c r="P277" s="3"/>
      <c r="Q277" s="3"/>
      <c r="R277" s="3"/>
      <c r="S277" s="3"/>
      <c r="T277" s="3">
        <v>1480.24</v>
      </c>
    </row>
    <row r="278" spans="10:20" x14ac:dyDescent="0.3">
      <c r="J278" s="6">
        <v>772.68</v>
      </c>
      <c r="K278" s="3">
        <v>4752.2</v>
      </c>
      <c r="M278" s="6">
        <v>29.24</v>
      </c>
      <c r="N278" s="3"/>
      <c r="O278" s="3">
        <v>2924.43</v>
      </c>
      <c r="P278" s="3">
        <v>3640.6</v>
      </c>
      <c r="Q278" s="3"/>
      <c r="R278" s="3"/>
      <c r="S278" s="3"/>
      <c r="T278" s="3">
        <v>3282.5149999999999</v>
      </c>
    </row>
    <row r="279" spans="10:20" x14ac:dyDescent="0.3">
      <c r="J279" s="6">
        <v>774.96</v>
      </c>
      <c r="K279" s="3">
        <v>1325.61</v>
      </c>
      <c r="M279" s="6">
        <v>29.29</v>
      </c>
      <c r="N279" s="3"/>
      <c r="O279" s="3"/>
      <c r="P279" s="3">
        <v>4831.3</v>
      </c>
      <c r="Q279" s="3"/>
      <c r="R279" s="3"/>
      <c r="S279" s="3"/>
      <c r="T279" s="3">
        <v>4831.3</v>
      </c>
    </row>
    <row r="280" spans="10:20" x14ac:dyDescent="0.3">
      <c r="J280" s="6">
        <v>775.05</v>
      </c>
      <c r="K280" s="3">
        <v>3998.98</v>
      </c>
      <c r="M280" s="6">
        <v>29.35</v>
      </c>
      <c r="N280" s="3">
        <v>2182.21</v>
      </c>
      <c r="O280" s="3"/>
      <c r="P280" s="3"/>
      <c r="Q280" s="3"/>
      <c r="R280" s="3">
        <v>5982.18</v>
      </c>
      <c r="S280" s="3"/>
      <c r="T280" s="3">
        <v>4082.1950000000002</v>
      </c>
    </row>
    <row r="281" spans="10:20" x14ac:dyDescent="0.3">
      <c r="J281" s="6">
        <v>775.8</v>
      </c>
      <c r="K281" s="3">
        <v>1648.59</v>
      </c>
      <c r="M281" s="6">
        <v>29.42</v>
      </c>
      <c r="N281" s="3"/>
      <c r="O281" s="3"/>
      <c r="P281" s="3"/>
      <c r="Q281" s="3">
        <v>3113.93</v>
      </c>
      <c r="R281" s="3"/>
      <c r="S281" s="3"/>
      <c r="T281" s="3">
        <v>3113.93</v>
      </c>
    </row>
    <row r="282" spans="10:20" x14ac:dyDescent="0.3">
      <c r="J282" s="6">
        <v>776.59</v>
      </c>
      <c r="K282" s="3">
        <v>3618.36</v>
      </c>
      <c r="M282" s="6">
        <v>29.44</v>
      </c>
      <c r="N282" s="3"/>
      <c r="O282" s="3"/>
      <c r="P282" s="3"/>
      <c r="Q282" s="3"/>
      <c r="R282" s="3"/>
      <c r="S282" s="3">
        <v>1516.72</v>
      </c>
      <c r="T282" s="3">
        <v>1516.72</v>
      </c>
    </row>
    <row r="283" spans="10:20" x14ac:dyDescent="0.3">
      <c r="J283" s="6">
        <v>777.93</v>
      </c>
      <c r="K283" s="3">
        <v>3717.85</v>
      </c>
      <c r="M283" s="6">
        <v>29.47</v>
      </c>
      <c r="N283" s="3"/>
      <c r="O283" s="3"/>
      <c r="P283" s="3"/>
      <c r="Q283" s="3"/>
      <c r="R283" s="3">
        <v>1869.09</v>
      </c>
      <c r="S283" s="3"/>
      <c r="T283" s="3">
        <v>1869.09</v>
      </c>
    </row>
    <row r="284" spans="10:20" x14ac:dyDescent="0.3">
      <c r="J284" s="6">
        <v>783.99</v>
      </c>
      <c r="K284" s="3">
        <v>3571.05</v>
      </c>
      <c r="M284" s="6">
        <v>29.48</v>
      </c>
      <c r="N284" s="3"/>
      <c r="O284" s="3">
        <v>5881.05</v>
      </c>
      <c r="P284" s="3"/>
      <c r="Q284" s="3"/>
      <c r="R284" s="3"/>
      <c r="S284" s="3"/>
      <c r="T284" s="3">
        <v>5881.05</v>
      </c>
    </row>
    <row r="285" spans="10:20" x14ac:dyDescent="0.3">
      <c r="J285" s="6">
        <v>784.18</v>
      </c>
      <c r="K285" s="3">
        <v>2602.5300000000002</v>
      </c>
      <c r="M285" s="6">
        <v>29.61</v>
      </c>
      <c r="N285" s="3"/>
      <c r="O285" s="3">
        <v>6750.78</v>
      </c>
      <c r="P285" s="3"/>
      <c r="Q285" s="3"/>
      <c r="R285" s="3"/>
      <c r="S285" s="3"/>
      <c r="T285" s="3">
        <v>6750.78</v>
      </c>
    </row>
    <row r="286" spans="10:20" x14ac:dyDescent="0.3">
      <c r="J286" s="6">
        <v>785.09</v>
      </c>
      <c r="K286" s="3">
        <v>3253.19</v>
      </c>
      <c r="M286" s="6">
        <v>29.62</v>
      </c>
      <c r="N286" s="3"/>
      <c r="O286" s="3"/>
      <c r="P286" s="3"/>
      <c r="Q286" s="3"/>
      <c r="R286" s="3"/>
      <c r="S286" s="3">
        <v>3205.37</v>
      </c>
      <c r="T286" s="3">
        <v>3205.37</v>
      </c>
    </row>
    <row r="287" spans="10:20" x14ac:dyDescent="0.3">
      <c r="J287" s="6">
        <v>785.36</v>
      </c>
      <c r="K287" s="3">
        <v>1394.09</v>
      </c>
      <c r="M287" s="6">
        <v>29.65</v>
      </c>
      <c r="N287" s="3"/>
      <c r="O287" s="3"/>
      <c r="P287" s="3"/>
      <c r="Q287" s="3">
        <v>2158.56</v>
      </c>
      <c r="R287" s="3"/>
      <c r="S287" s="3"/>
      <c r="T287" s="3">
        <v>2158.56</v>
      </c>
    </row>
    <row r="288" spans="10:20" x14ac:dyDescent="0.3">
      <c r="J288" s="6">
        <v>789.27</v>
      </c>
      <c r="K288" s="3">
        <v>2193.0300000000002</v>
      </c>
      <c r="M288" s="6">
        <v>29.67</v>
      </c>
      <c r="N288" s="3"/>
      <c r="O288" s="3"/>
      <c r="P288" s="3">
        <v>3109.21</v>
      </c>
      <c r="Q288" s="3"/>
      <c r="R288" s="3"/>
      <c r="S288" s="3"/>
      <c r="T288" s="3">
        <v>3109.21</v>
      </c>
    </row>
    <row r="289" spans="10:20" x14ac:dyDescent="0.3">
      <c r="J289" s="6">
        <v>789.73</v>
      </c>
      <c r="K289" s="3">
        <v>5008.8500000000004</v>
      </c>
      <c r="M289" s="6">
        <v>29.7</v>
      </c>
      <c r="N289" s="3">
        <v>2279.0500000000002</v>
      </c>
      <c r="O289" s="3"/>
      <c r="P289" s="3"/>
      <c r="Q289" s="3"/>
      <c r="R289" s="3">
        <v>4343.72</v>
      </c>
      <c r="S289" s="3"/>
      <c r="T289" s="3">
        <v>3311.3850000000002</v>
      </c>
    </row>
    <row r="290" spans="10:20" x14ac:dyDescent="0.3">
      <c r="J290" s="6">
        <v>791.42</v>
      </c>
      <c r="K290" s="3">
        <v>3653.25</v>
      </c>
      <c r="M290" s="6">
        <v>29.73</v>
      </c>
      <c r="N290" s="3"/>
      <c r="O290" s="3"/>
      <c r="P290" s="3"/>
      <c r="Q290" s="3">
        <v>2435.9899999999998</v>
      </c>
      <c r="R290" s="3"/>
      <c r="S290" s="3"/>
      <c r="T290" s="3">
        <v>2435.9899999999998</v>
      </c>
    </row>
    <row r="291" spans="10:20" x14ac:dyDescent="0.3">
      <c r="J291" s="6">
        <v>791.69</v>
      </c>
      <c r="K291" s="3">
        <v>5437.46</v>
      </c>
      <c r="M291" s="6">
        <v>29.78</v>
      </c>
      <c r="N291" s="3">
        <v>6783.48</v>
      </c>
      <c r="O291" s="3"/>
      <c r="P291" s="3"/>
      <c r="Q291" s="3"/>
      <c r="R291" s="3"/>
      <c r="S291" s="3"/>
      <c r="T291" s="3">
        <v>6783.48</v>
      </c>
    </row>
    <row r="292" spans="10:20" x14ac:dyDescent="0.3">
      <c r="J292" s="6">
        <v>793.77</v>
      </c>
      <c r="K292" s="3">
        <v>1044.0899999999999</v>
      </c>
      <c r="M292" s="6">
        <v>29.8</v>
      </c>
      <c r="N292" s="3">
        <v>4266.1000000000004</v>
      </c>
      <c r="O292" s="3"/>
      <c r="P292" s="3"/>
      <c r="Q292" s="3"/>
      <c r="R292" s="3"/>
      <c r="S292" s="3"/>
      <c r="T292" s="3">
        <v>4266.1000000000004</v>
      </c>
    </row>
    <row r="293" spans="10:20" x14ac:dyDescent="0.3">
      <c r="J293" s="6">
        <v>795.89</v>
      </c>
      <c r="K293" s="3">
        <v>3532.96</v>
      </c>
      <c r="M293" s="6">
        <v>29.82</v>
      </c>
      <c r="N293" s="3"/>
      <c r="O293" s="3"/>
      <c r="P293" s="3"/>
      <c r="Q293" s="3">
        <v>3226.07</v>
      </c>
      <c r="R293" s="3"/>
      <c r="S293" s="3">
        <v>3382.08</v>
      </c>
      <c r="T293" s="3">
        <v>3304.0749999999998</v>
      </c>
    </row>
    <row r="294" spans="10:20" x14ac:dyDescent="0.3">
      <c r="J294" s="6">
        <v>795.98</v>
      </c>
      <c r="K294" s="3">
        <v>2397.9899999999998</v>
      </c>
      <c r="M294" s="6">
        <v>29.92</v>
      </c>
      <c r="N294" s="3">
        <v>1901.44</v>
      </c>
      <c r="O294" s="3"/>
      <c r="P294" s="3"/>
      <c r="Q294" s="3"/>
      <c r="R294" s="3"/>
      <c r="S294" s="3"/>
      <c r="T294" s="3">
        <v>1901.44</v>
      </c>
    </row>
    <row r="295" spans="10:20" x14ac:dyDescent="0.3">
      <c r="J295" s="6">
        <v>796.08</v>
      </c>
      <c r="K295" s="3">
        <v>5017.63</v>
      </c>
      <c r="M295" s="6">
        <v>29.94</v>
      </c>
      <c r="N295" s="3"/>
      <c r="O295" s="3"/>
      <c r="P295" s="3"/>
      <c r="Q295" s="3"/>
      <c r="R295" s="3"/>
      <c r="S295" s="3">
        <v>4032.57</v>
      </c>
      <c r="T295" s="3">
        <v>4032.57</v>
      </c>
    </row>
    <row r="296" spans="10:20" x14ac:dyDescent="0.3">
      <c r="J296" s="6">
        <v>796.12</v>
      </c>
      <c r="K296" s="3">
        <v>1516.72</v>
      </c>
      <c r="M296" s="6">
        <v>29.95</v>
      </c>
      <c r="N296" s="3"/>
      <c r="O296" s="3"/>
      <c r="P296" s="3"/>
      <c r="Q296" s="3"/>
      <c r="R296" s="3"/>
      <c r="S296" s="3">
        <v>1956.22</v>
      </c>
      <c r="T296" s="3">
        <v>1956.22</v>
      </c>
    </row>
    <row r="297" spans="10:20" x14ac:dyDescent="0.3">
      <c r="J297" s="6">
        <v>801.66</v>
      </c>
      <c r="K297" s="3">
        <v>3942.62</v>
      </c>
      <c r="M297" s="6">
        <v>29.97</v>
      </c>
      <c r="N297" s="3"/>
      <c r="O297" s="3">
        <v>1112.5899999999999</v>
      </c>
      <c r="P297" s="3"/>
      <c r="Q297" s="3"/>
      <c r="R297" s="3"/>
      <c r="S297" s="3"/>
      <c r="T297" s="3">
        <v>1112.5899999999999</v>
      </c>
    </row>
    <row r="298" spans="10:20" x14ac:dyDescent="0.3">
      <c r="J298" s="6">
        <v>802.92</v>
      </c>
      <c r="K298" s="3">
        <v>1309.22</v>
      </c>
      <c r="M298" s="6">
        <v>29.99</v>
      </c>
      <c r="N298" s="3"/>
      <c r="O298" s="3"/>
      <c r="P298" s="3"/>
      <c r="Q298" s="3"/>
      <c r="R298" s="3">
        <v>6967.21</v>
      </c>
      <c r="S298" s="3"/>
      <c r="T298" s="3">
        <v>6967.21</v>
      </c>
    </row>
    <row r="299" spans="10:20" x14ac:dyDescent="0.3">
      <c r="J299" s="6">
        <v>803.64</v>
      </c>
      <c r="K299" s="3">
        <v>5562.04</v>
      </c>
      <c r="M299" s="6">
        <v>30.04</v>
      </c>
      <c r="N299" s="3"/>
      <c r="O299" s="3"/>
      <c r="P299" s="3"/>
      <c r="Q299" s="3">
        <v>6853.88</v>
      </c>
      <c r="R299" s="3"/>
      <c r="S299" s="3"/>
      <c r="T299" s="3">
        <v>6853.88</v>
      </c>
    </row>
    <row r="300" spans="10:20" x14ac:dyDescent="0.3">
      <c r="J300" s="6">
        <v>803.73</v>
      </c>
      <c r="K300" s="3">
        <v>3279.56</v>
      </c>
      <c r="M300" s="6">
        <v>30.1</v>
      </c>
      <c r="N300" s="3"/>
      <c r="O300" s="3"/>
      <c r="P300" s="3">
        <v>4894.79</v>
      </c>
      <c r="Q300" s="3"/>
      <c r="R300" s="3"/>
      <c r="S300" s="3"/>
      <c r="T300" s="3">
        <v>4894.79</v>
      </c>
    </row>
    <row r="301" spans="10:20" x14ac:dyDescent="0.3">
      <c r="J301" s="6">
        <v>804.83</v>
      </c>
      <c r="K301" s="3">
        <v>5454.5</v>
      </c>
      <c r="M301" s="6">
        <v>30.13</v>
      </c>
      <c r="N301" s="3"/>
      <c r="O301" s="3"/>
      <c r="P301" s="3">
        <v>6764.67</v>
      </c>
      <c r="Q301" s="3"/>
      <c r="R301" s="3"/>
      <c r="S301" s="3"/>
      <c r="T301" s="3">
        <v>6764.67</v>
      </c>
    </row>
    <row r="302" spans="10:20" x14ac:dyDescent="0.3">
      <c r="J302" s="6">
        <v>805.38</v>
      </c>
      <c r="K302" s="3">
        <v>2901.27</v>
      </c>
      <c r="M302" s="6">
        <v>30.16</v>
      </c>
      <c r="N302" s="3">
        <v>3414.4</v>
      </c>
      <c r="O302" s="3"/>
      <c r="P302" s="3"/>
      <c r="Q302" s="3"/>
      <c r="R302" s="3">
        <v>2801.58</v>
      </c>
      <c r="S302" s="3"/>
      <c r="T302" s="3">
        <v>3107.99</v>
      </c>
    </row>
    <row r="303" spans="10:20" x14ac:dyDescent="0.3">
      <c r="J303" s="6">
        <v>806.93</v>
      </c>
      <c r="K303" s="3">
        <v>5142.8599999999997</v>
      </c>
      <c r="M303" s="6">
        <v>30.17</v>
      </c>
      <c r="N303" s="3"/>
      <c r="O303" s="3"/>
      <c r="P303" s="3"/>
      <c r="Q303" s="3"/>
      <c r="R303" s="3"/>
      <c r="S303" s="3">
        <v>3437.26</v>
      </c>
      <c r="T303" s="3">
        <v>3437.26</v>
      </c>
    </row>
    <row r="304" spans="10:20" x14ac:dyDescent="0.3">
      <c r="J304" s="6">
        <v>809</v>
      </c>
      <c r="K304" s="3">
        <v>1684.08</v>
      </c>
      <c r="M304" s="6">
        <v>30.22</v>
      </c>
      <c r="N304" s="3"/>
      <c r="O304" s="3">
        <v>6796.33</v>
      </c>
      <c r="P304" s="3"/>
      <c r="Q304" s="3"/>
      <c r="R304" s="3"/>
      <c r="S304" s="3"/>
      <c r="T304" s="3">
        <v>6796.33</v>
      </c>
    </row>
    <row r="305" spans="10:20" x14ac:dyDescent="0.3">
      <c r="J305" s="6">
        <v>810.26</v>
      </c>
      <c r="K305" s="3">
        <v>2421.6799999999998</v>
      </c>
      <c r="M305" s="6">
        <v>30.25</v>
      </c>
      <c r="N305" s="3"/>
      <c r="O305" s="3"/>
      <c r="P305" s="3"/>
      <c r="Q305" s="3">
        <v>1339.63</v>
      </c>
      <c r="R305" s="3"/>
      <c r="S305" s="3"/>
      <c r="T305" s="3">
        <v>1339.63</v>
      </c>
    </row>
    <row r="306" spans="10:20" x14ac:dyDescent="0.3">
      <c r="J306" s="6">
        <v>811.31</v>
      </c>
      <c r="K306" s="3">
        <v>6175.82</v>
      </c>
      <c r="M306" s="6">
        <v>30.26</v>
      </c>
      <c r="N306" s="3"/>
      <c r="O306" s="3">
        <v>2975.71</v>
      </c>
      <c r="P306" s="3"/>
      <c r="Q306" s="3"/>
      <c r="R306" s="3"/>
      <c r="S306" s="3"/>
      <c r="T306" s="3">
        <v>2975.71</v>
      </c>
    </row>
    <row r="307" spans="10:20" x14ac:dyDescent="0.3">
      <c r="J307" s="6">
        <v>811.48</v>
      </c>
      <c r="K307" s="3">
        <v>5143</v>
      </c>
      <c r="M307" s="6">
        <v>30.32</v>
      </c>
      <c r="N307" s="3">
        <v>1042.68</v>
      </c>
      <c r="O307" s="3"/>
      <c r="P307" s="3"/>
      <c r="Q307" s="3"/>
      <c r="R307" s="3"/>
      <c r="S307" s="3"/>
      <c r="T307" s="3">
        <v>1042.68</v>
      </c>
    </row>
    <row r="308" spans="10:20" x14ac:dyDescent="0.3">
      <c r="J308" s="6">
        <v>811.49</v>
      </c>
      <c r="K308" s="3">
        <v>3065.59</v>
      </c>
      <c r="M308" s="6">
        <v>30.36</v>
      </c>
      <c r="N308" s="3"/>
      <c r="O308" s="3"/>
      <c r="P308" s="3"/>
      <c r="Q308" s="3">
        <v>4112.79</v>
      </c>
      <c r="R308" s="3"/>
      <c r="S308" s="3"/>
      <c r="T308" s="3">
        <v>4112.79</v>
      </c>
    </row>
    <row r="309" spans="10:20" x14ac:dyDescent="0.3">
      <c r="J309" s="6">
        <v>811.88</v>
      </c>
      <c r="K309" s="3">
        <v>2567.8200000000002</v>
      </c>
      <c r="M309" s="6">
        <v>30.38</v>
      </c>
      <c r="N309" s="3"/>
      <c r="O309" s="3"/>
      <c r="P309" s="3"/>
      <c r="Q309" s="3"/>
      <c r="R309" s="3">
        <v>1454.29</v>
      </c>
      <c r="S309" s="3"/>
      <c r="T309" s="3">
        <v>1454.29</v>
      </c>
    </row>
    <row r="310" spans="10:20" x14ac:dyDescent="0.3">
      <c r="J310" s="6">
        <v>817.84</v>
      </c>
      <c r="K310" s="3">
        <v>6300.05</v>
      </c>
      <c r="M310" s="6">
        <v>30.39</v>
      </c>
      <c r="N310" s="3"/>
      <c r="O310" s="3"/>
      <c r="P310" s="3"/>
      <c r="Q310" s="3"/>
      <c r="R310" s="3"/>
      <c r="S310" s="3">
        <v>1534.85</v>
      </c>
      <c r="T310" s="3">
        <v>1534.85</v>
      </c>
    </row>
    <row r="311" spans="10:20" x14ac:dyDescent="0.3">
      <c r="J311" s="6">
        <v>818.1</v>
      </c>
      <c r="K311" s="3">
        <v>3382.08</v>
      </c>
      <c r="M311" s="6">
        <v>30.4</v>
      </c>
      <c r="N311" s="3">
        <v>1532.36</v>
      </c>
      <c r="O311" s="3"/>
      <c r="P311" s="3"/>
      <c r="Q311" s="3"/>
      <c r="R311" s="3"/>
      <c r="S311" s="3"/>
      <c r="T311" s="3">
        <v>1532.36</v>
      </c>
    </row>
    <row r="312" spans="10:20" x14ac:dyDescent="0.3">
      <c r="J312" s="6">
        <v>818.35</v>
      </c>
      <c r="K312" s="3">
        <v>5039.79</v>
      </c>
      <c r="M312" s="6">
        <v>30.41</v>
      </c>
      <c r="N312" s="3">
        <v>1048.3800000000001</v>
      </c>
      <c r="O312" s="3"/>
      <c r="P312" s="3"/>
      <c r="Q312" s="3"/>
      <c r="R312" s="3"/>
      <c r="S312" s="3"/>
      <c r="T312" s="3">
        <v>1048.3800000000001</v>
      </c>
    </row>
    <row r="313" spans="10:20" x14ac:dyDescent="0.3">
      <c r="J313" s="6">
        <v>818.62</v>
      </c>
      <c r="K313" s="3">
        <v>4515.25</v>
      </c>
      <c r="M313" s="6">
        <v>30.44</v>
      </c>
      <c r="N313" s="3">
        <v>5748.28</v>
      </c>
      <c r="O313" s="3"/>
      <c r="P313" s="3"/>
      <c r="Q313" s="3"/>
      <c r="R313" s="3"/>
      <c r="S313" s="3"/>
      <c r="T313" s="3">
        <v>5748.28</v>
      </c>
    </row>
    <row r="314" spans="10:20" x14ac:dyDescent="0.3">
      <c r="J314" s="6">
        <v>829.76</v>
      </c>
      <c r="K314" s="3">
        <v>6750.78</v>
      </c>
      <c r="M314" s="6">
        <v>30.51</v>
      </c>
      <c r="N314" s="3"/>
      <c r="O314" s="3"/>
      <c r="P314" s="3"/>
      <c r="Q314" s="3"/>
      <c r="R314" s="3">
        <v>1018.09</v>
      </c>
      <c r="S314" s="3"/>
      <c r="T314" s="3">
        <v>1018.09</v>
      </c>
    </row>
    <row r="315" spans="10:20" x14ac:dyDescent="0.3">
      <c r="J315" s="6">
        <v>831.86</v>
      </c>
      <c r="K315" s="3">
        <v>4685.74</v>
      </c>
      <c r="M315" s="6">
        <v>30.52</v>
      </c>
      <c r="N315" s="3"/>
      <c r="O315" s="3"/>
      <c r="P315" s="3">
        <v>6522.35</v>
      </c>
      <c r="Q315" s="3"/>
      <c r="R315" s="3"/>
      <c r="S315" s="3"/>
      <c r="T315" s="3">
        <v>6522.35</v>
      </c>
    </row>
    <row r="316" spans="10:20" x14ac:dyDescent="0.3">
      <c r="J316" s="6">
        <v>832.27</v>
      </c>
      <c r="K316" s="3">
        <v>3153.51</v>
      </c>
      <c r="M316" s="6">
        <v>30.54</v>
      </c>
      <c r="N316" s="3">
        <v>1561</v>
      </c>
      <c r="O316" s="3"/>
      <c r="P316" s="3"/>
      <c r="Q316" s="3"/>
      <c r="R316" s="3"/>
      <c r="S316" s="3"/>
      <c r="T316" s="3">
        <v>1561</v>
      </c>
    </row>
    <row r="317" spans="10:20" x14ac:dyDescent="0.3">
      <c r="J317" s="6">
        <v>834.4</v>
      </c>
      <c r="K317" s="3">
        <v>6107.28</v>
      </c>
      <c r="M317" s="6">
        <v>30.57</v>
      </c>
      <c r="N317" s="3"/>
      <c r="O317" s="3"/>
      <c r="P317" s="3"/>
      <c r="Q317" s="3">
        <v>4282.28</v>
      </c>
      <c r="R317" s="3"/>
      <c r="S317" s="3"/>
      <c r="T317" s="3">
        <v>4282.28</v>
      </c>
    </row>
    <row r="318" spans="10:20" x14ac:dyDescent="0.3">
      <c r="J318" s="6">
        <v>835.85</v>
      </c>
      <c r="K318" s="3">
        <v>4544.99</v>
      </c>
      <c r="M318" s="6">
        <v>30.58</v>
      </c>
      <c r="N318" s="3">
        <v>1995.82</v>
      </c>
      <c r="O318" s="3"/>
      <c r="P318" s="3"/>
      <c r="Q318" s="3"/>
      <c r="R318" s="3"/>
      <c r="S318" s="3"/>
      <c r="T318" s="3">
        <v>1995.82</v>
      </c>
    </row>
    <row r="319" spans="10:20" x14ac:dyDescent="0.3">
      <c r="J319" s="6">
        <v>837.9</v>
      </c>
      <c r="K319" s="3">
        <v>2444.98</v>
      </c>
      <c r="M319" s="6">
        <v>30.59</v>
      </c>
      <c r="N319" s="3">
        <v>5268.82</v>
      </c>
      <c r="O319" s="3"/>
      <c r="P319" s="3"/>
      <c r="Q319" s="3"/>
      <c r="R319" s="3"/>
      <c r="S319" s="3"/>
      <c r="T319" s="3">
        <v>5268.82</v>
      </c>
    </row>
    <row r="320" spans="10:20" x14ac:dyDescent="0.3">
      <c r="J320" s="6">
        <v>838.52</v>
      </c>
      <c r="K320" s="3">
        <v>1253.1199999999999</v>
      </c>
      <c r="M320" s="6">
        <v>30.61</v>
      </c>
      <c r="N320" s="3"/>
      <c r="O320" s="3"/>
      <c r="P320" s="3"/>
      <c r="Q320" s="3"/>
      <c r="R320" s="3"/>
      <c r="S320" s="3">
        <v>5933.99</v>
      </c>
      <c r="T320" s="3">
        <v>5933.99</v>
      </c>
    </row>
    <row r="321" spans="10:20" x14ac:dyDescent="0.3">
      <c r="J321" s="6">
        <v>838.71</v>
      </c>
      <c r="K321" s="3">
        <v>6326.81</v>
      </c>
      <c r="M321" s="6">
        <v>30.68</v>
      </c>
      <c r="N321" s="3"/>
      <c r="O321" s="3"/>
      <c r="P321" s="3"/>
      <c r="Q321" s="3">
        <v>4615.1499999999996</v>
      </c>
      <c r="R321" s="3"/>
      <c r="S321" s="3"/>
      <c r="T321" s="3">
        <v>4615.1499999999996</v>
      </c>
    </row>
    <row r="322" spans="10:20" x14ac:dyDescent="0.3">
      <c r="J322" s="6">
        <v>840.34</v>
      </c>
      <c r="K322" s="3">
        <v>1112.5899999999999</v>
      </c>
      <c r="M322" s="6">
        <v>30.7</v>
      </c>
      <c r="N322" s="3"/>
      <c r="O322" s="3"/>
      <c r="P322" s="3"/>
      <c r="Q322" s="3"/>
      <c r="R322" s="3">
        <v>4515.25</v>
      </c>
      <c r="S322" s="3"/>
      <c r="T322" s="3">
        <v>4515.25</v>
      </c>
    </row>
    <row r="323" spans="10:20" x14ac:dyDescent="0.3">
      <c r="J323" s="6">
        <v>844.99</v>
      </c>
      <c r="K323" s="3">
        <v>5884.4</v>
      </c>
      <c r="M323" s="6">
        <v>30.73</v>
      </c>
      <c r="N323" s="3"/>
      <c r="O323" s="3"/>
      <c r="P323" s="3"/>
      <c r="Q323" s="3"/>
      <c r="R323" s="3"/>
      <c r="S323" s="3">
        <v>5612.24</v>
      </c>
      <c r="T323" s="3">
        <v>5612.24</v>
      </c>
    </row>
    <row r="324" spans="10:20" x14ac:dyDescent="0.3">
      <c r="J324" s="6">
        <v>845.03</v>
      </c>
      <c r="K324" s="3">
        <v>1998.03</v>
      </c>
      <c r="M324" s="6">
        <v>30.81</v>
      </c>
      <c r="N324" s="3"/>
      <c r="O324" s="3"/>
      <c r="P324" s="3"/>
      <c r="Q324" s="3">
        <v>3526.61</v>
      </c>
      <c r="R324" s="3"/>
      <c r="S324" s="3"/>
      <c r="T324" s="3">
        <v>3526.61</v>
      </c>
    </row>
    <row r="325" spans="10:20" x14ac:dyDescent="0.3">
      <c r="J325" s="6">
        <v>850.09</v>
      </c>
      <c r="K325" s="3">
        <v>6527.15</v>
      </c>
      <c r="M325" s="6">
        <v>30.82</v>
      </c>
      <c r="N325" s="3"/>
      <c r="O325" s="3"/>
      <c r="P325" s="3"/>
      <c r="Q325" s="3">
        <v>1925.52</v>
      </c>
      <c r="R325" s="3"/>
      <c r="S325" s="3"/>
      <c r="T325" s="3">
        <v>1925.52</v>
      </c>
    </row>
    <row r="326" spans="10:20" x14ac:dyDescent="0.3">
      <c r="J326" s="6">
        <v>853.67</v>
      </c>
      <c r="K326" s="3">
        <v>6938.65</v>
      </c>
      <c r="M326" s="6">
        <v>30.84</v>
      </c>
      <c r="N326" s="3"/>
      <c r="O326" s="3">
        <v>6245.14</v>
      </c>
      <c r="P326" s="3"/>
      <c r="Q326" s="3"/>
      <c r="R326" s="3"/>
      <c r="S326" s="3"/>
      <c r="T326" s="3">
        <v>6245.14</v>
      </c>
    </row>
    <row r="327" spans="10:20" x14ac:dyDescent="0.3">
      <c r="J327" s="6">
        <v>854.79</v>
      </c>
      <c r="K327" s="3">
        <v>6280.81</v>
      </c>
      <c r="M327" s="6">
        <v>30.91</v>
      </c>
      <c r="N327" s="3">
        <v>6050.76</v>
      </c>
      <c r="O327" s="3"/>
      <c r="P327" s="3"/>
      <c r="Q327" s="3"/>
      <c r="R327" s="3"/>
      <c r="S327" s="3"/>
      <c r="T327" s="3">
        <v>6050.76</v>
      </c>
    </row>
    <row r="328" spans="10:20" x14ac:dyDescent="0.3">
      <c r="J328" s="6">
        <v>856.32</v>
      </c>
      <c r="K328" s="3">
        <v>3838.96</v>
      </c>
      <c r="M328" s="6">
        <v>30.92</v>
      </c>
      <c r="N328" s="3"/>
      <c r="O328" s="3"/>
      <c r="P328" s="3"/>
      <c r="Q328" s="3">
        <v>3086.62</v>
      </c>
      <c r="R328" s="3"/>
      <c r="S328" s="3"/>
      <c r="T328" s="3">
        <v>3086.62</v>
      </c>
    </row>
    <row r="329" spans="10:20" x14ac:dyDescent="0.3">
      <c r="J329" s="6">
        <v>858.66</v>
      </c>
      <c r="K329" s="3">
        <v>1835.07</v>
      </c>
      <c r="M329" s="6">
        <v>30.95</v>
      </c>
      <c r="N329" s="3"/>
      <c r="O329" s="3">
        <v>3279.56</v>
      </c>
      <c r="P329" s="3"/>
      <c r="Q329" s="3"/>
      <c r="R329" s="3"/>
      <c r="S329" s="3"/>
      <c r="T329" s="3">
        <v>3279.56</v>
      </c>
    </row>
    <row r="330" spans="10:20" x14ac:dyDescent="0.3">
      <c r="J330" s="6">
        <v>861.66</v>
      </c>
      <c r="K330" s="3">
        <v>5114.4399999999996</v>
      </c>
      <c r="M330" s="6">
        <v>30.99</v>
      </c>
      <c r="N330" s="3">
        <v>3239.81</v>
      </c>
      <c r="O330" s="3"/>
      <c r="P330" s="3"/>
      <c r="Q330" s="3"/>
      <c r="R330" s="3"/>
      <c r="S330" s="3"/>
      <c r="T330" s="3">
        <v>3239.81</v>
      </c>
    </row>
    <row r="331" spans="10:20" x14ac:dyDescent="0.3">
      <c r="J331" s="6">
        <v>862.02</v>
      </c>
      <c r="K331" s="3">
        <v>6125.27</v>
      </c>
      <c r="M331" s="6">
        <v>31</v>
      </c>
      <c r="N331" s="3"/>
      <c r="O331" s="3"/>
      <c r="P331" s="3">
        <v>6482.53</v>
      </c>
      <c r="Q331" s="3"/>
      <c r="R331" s="3"/>
      <c r="S331" s="3"/>
      <c r="T331" s="3">
        <v>6482.53</v>
      </c>
    </row>
    <row r="332" spans="10:20" x14ac:dyDescent="0.3">
      <c r="J332" s="6">
        <v>863.55</v>
      </c>
      <c r="K332" s="3">
        <v>1758.47</v>
      </c>
      <c r="M332" s="6">
        <v>31.04</v>
      </c>
      <c r="N332" s="3"/>
      <c r="O332" s="3">
        <v>3902.56</v>
      </c>
      <c r="P332" s="3">
        <v>6973.99</v>
      </c>
      <c r="Q332" s="3"/>
      <c r="R332" s="3"/>
      <c r="S332" s="3"/>
      <c r="T332" s="3">
        <v>5438.2749999999996</v>
      </c>
    </row>
    <row r="333" spans="10:20" x14ac:dyDescent="0.3">
      <c r="J333" s="6">
        <v>864.24</v>
      </c>
      <c r="K333" s="3">
        <v>2182.21</v>
      </c>
      <c r="M333" s="6">
        <v>31.05</v>
      </c>
      <c r="N333" s="3"/>
      <c r="O333" s="3"/>
      <c r="P333" s="3"/>
      <c r="Q333" s="3">
        <v>4932.3999999999996</v>
      </c>
      <c r="R333" s="3"/>
      <c r="S333" s="3"/>
      <c r="T333" s="3">
        <v>4932.3999999999996</v>
      </c>
    </row>
    <row r="334" spans="10:20" x14ac:dyDescent="0.3">
      <c r="J334" s="6">
        <v>869.84</v>
      </c>
      <c r="K334" s="3">
        <v>5461.74</v>
      </c>
      <c r="M334" s="6">
        <v>31.15</v>
      </c>
      <c r="N334" s="3"/>
      <c r="O334" s="3"/>
      <c r="P334" s="3">
        <v>6352.12</v>
      </c>
      <c r="Q334" s="3"/>
      <c r="R334" s="3"/>
      <c r="S334" s="3"/>
      <c r="T334" s="3">
        <v>6352.12</v>
      </c>
    </row>
    <row r="335" spans="10:20" x14ac:dyDescent="0.3">
      <c r="J335" s="6">
        <v>870.18</v>
      </c>
      <c r="K335" s="3">
        <v>3188.99</v>
      </c>
      <c r="M335" s="6">
        <v>31.18</v>
      </c>
      <c r="N335" s="3"/>
      <c r="O335" s="3"/>
      <c r="P335" s="3"/>
      <c r="Q335" s="3"/>
      <c r="R335" s="3">
        <v>3688.59</v>
      </c>
      <c r="S335" s="3"/>
      <c r="T335" s="3">
        <v>3688.59</v>
      </c>
    </row>
    <row r="336" spans="10:20" x14ac:dyDescent="0.3">
      <c r="J336" s="6">
        <v>871.3</v>
      </c>
      <c r="K336" s="3">
        <v>4483.57</v>
      </c>
      <c r="M336" s="6">
        <v>31.22</v>
      </c>
      <c r="N336" s="3"/>
      <c r="O336" s="3">
        <v>5142.8599999999997</v>
      </c>
      <c r="P336" s="3"/>
      <c r="Q336" s="3"/>
      <c r="R336" s="3"/>
      <c r="S336" s="3"/>
      <c r="T336" s="3">
        <v>5142.8599999999997</v>
      </c>
    </row>
    <row r="337" spans="10:20" x14ac:dyDescent="0.3">
      <c r="J337" s="6">
        <v>871.87</v>
      </c>
      <c r="K337" s="3">
        <v>4207.8100000000004</v>
      </c>
      <c r="M337" s="6">
        <v>31.28</v>
      </c>
      <c r="N337" s="3">
        <v>6572.6</v>
      </c>
      <c r="O337" s="3"/>
      <c r="P337" s="3"/>
      <c r="Q337" s="3"/>
      <c r="R337" s="3"/>
      <c r="S337" s="3"/>
      <c r="T337" s="3">
        <v>6572.6</v>
      </c>
    </row>
    <row r="338" spans="10:20" x14ac:dyDescent="0.3">
      <c r="J338" s="6">
        <v>872.02</v>
      </c>
      <c r="K338" s="3">
        <v>1403.75</v>
      </c>
      <c r="M338" s="6">
        <v>31.32</v>
      </c>
      <c r="N338" s="3">
        <v>2567.8200000000002</v>
      </c>
      <c r="O338" s="3"/>
      <c r="P338" s="3"/>
      <c r="Q338" s="3"/>
      <c r="R338" s="3"/>
      <c r="S338" s="3">
        <v>1580.09</v>
      </c>
      <c r="T338" s="3">
        <v>2073.9549999999999</v>
      </c>
    </row>
    <row r="339" spans="10:20" x14ac:dyDescent="0.3">
      <c r="J339" s="6">
        <v>872.28</v>
      </c>
      <c r="K339" s="3">
        <v>6771.47</v>
      </c>
      <c r="M339" s="6">
        <v>31.37</v>
      </c>
      <c r="N339" s="3"/>
      <c r="O339" s="3"/>
      <c r="P339" s="3">
        <v>6688.38</v>
      </c>
      <c r="Q339" s="3"/>
      <c r="R339" s="3"/>
      <c r="S339" s="3"/>
      <c r="T339" s="3">
        <v>6688.38</v>
      </c>
    </row>
    <row r="340" spans="10:20" x14ac:dyDescent="0.3">
      <c r="J340" s="6">
        <v>876.85</v>
      </c>
      <c r="K340" s="3">
        <v>4478.57</v>
      </c>
      <c r="M340" s="6">
        <v>31.38</v>
      </c>
      <c r="N340" s="3"/>
      <c r="O340" s="3"/>
      <c r="P340" s="3">
        <v>2193.0300000000002</v>
      </c>
      <c r="Q340" s="3"/>
      <c r="R340" s="3"/>
      <c r="S340" s="3"/>
      <c r="T340" s="3">
        <v>2193.0300000000002</v>
      </c>
    </row>
    <row r="341" spans="10:20" x14ac:dyDescent="0.3">
      <c r="J341" s="6">
        <v>877.76</v>
      </c>
      <c r="K341" s="3">
        <v>3113.93</v>
      </c>
      <c r="M341" s="6">
        <v>31.4</v>
      </c>
      <c r="N341" s="3"/>
      <c r="O341" s="3"/>
      <c r="P341" s="3"/>
      <c r="Q341" s="3"/>
      <c r="R341" s="3">
        <v>2125.5</v>
      </c>
      <c r="S341" s="3"/>
      <c r="T341" s="3">
        <v>2125.5</v>
      </c>
    </row>
    <row r="342" spans="10:20" x14ac:dyDescent="0.3">
      <c r="J342" s="6">
        <v>878.22</v>
      </c>
      <c r="K342" s="3">
        <v>1682.91</v>
      </c>
      <c r="M342" s="6">
        <v>31.42</v>
      </c>
      <c r="N342" s="3">
        <v>6196.47</v>
      </c>
      <c r="O342" s="3"/>
      <c r="P342" s="3"/>
      <c r="Q342" s="3"/>
      <c r="R342" s="3"/>
      <c r="S342" s="3"/>
      <c r="T342" s="3">
        <v>6196.47</v>
      </c>
    </row>
    <row r="343" spans="10:20" x14ac:dyDescent="0.3">
      <c r="J343" s="6">
        <v>879.06</v>
      </c>
      <c r="K343" s="3">
        <v>6696.8</v>
      </c>
      <c r="M343" s="6">
        <v>31.43</v>
      </c>
      <c r="N343" s="3">
        <v>3241.75</v>
      </c>
      <c r="O343" s="3"/>
      <c r="P343" s="3"/>
      <c r="Q343" s="3"/>
      <c r="R343" s="3"/>
      <c r="S343" s="3"/>
      <c r="T343" s="3">
        <v>3241.75</v>
      </c>
    </row>
    <row r="344" spans="10:20" x14ac:dyDescent="0.3">
      <c r="J344" s="6">
        <v>880.73</v>
      </c>
      <c r="K344" s="3">
        <v>5647.64</v>
      </c>
      <c r="M344" s="6">
        <v>31.46</v>
      </c>
      <c r="N344" s="3">
        <v>2945.41</v>
      </c>
      <c r="O344" s="3"/>
      <c r="P344" s="3"/>
      <c r="Q344" s="3"/>
      <c r="R344" s="3"/>
      <c r="S344" s="3"/>
      <c r="T344" s="3">
        <v>2945.41</v>
      </c>
    </row>
    <row r="345" spans="10:20" x14ac:dyDescent="0.3">
      <c r="J345" s="6">
        <v>883.22</v>
      </c>
      <c r="K345" s="3">
        <v>1380.05</v>
      </c>
      <c r="M345" s="6">
        <v>31.5</v>
      </c>
      <c r="N345" s="3"/>
      <c r="O345" s="3"/>
      <c r="P345" s="3"/>
      <c r="Q345" s="3">
        <v>3841.37</v>
      </c>
      <c r="R345" s="3"/>
      <c r="S345" s="3"/>
      <c r="T345" s="3">
        <v>3841.37</v>
      </c>
    </row>
    <row r="346" spans="10:20" x14ac:dyDescent="0.3">
      <c r="J346" s="6">
        <v>884.68</v>
      </c>
      <c r="K346" s="3">
        <v>5881.05</v>
      </c>
      <c r="M346" s="6">
        <v>31.56</v>
      </c>
      <c r="N346" s="3"/>
      <c r="O346" s="3"/>
      <c r="P346" s="3"/>
      <c r="Q346" s="3">
        <v>1825.39</v>
      </c>
      <c r="R346" s="3"/>
      <c r="S346" s="3"/>
      <c r="T346" s="3">
        <v>1825.39</v>
      </c>
    </row>
    <row r="347" spans="10:20" x14ac:dyDescent="0.3">
      <c r="J347" s="6">
        <v>886.45</v>
      </c>
      <c r="K347" s="3">
        <v>3404.24</v>
      </c>
      <c r="M347" s="6">
        <v>31.6</v>
      </c>
      <c r="N347" s="3">
        <v>6170.24</v>
      </c>
      <c r="O347" s="3">
        <v>2602.5300000000002</v>
      </c>
      <c r="P347" s="3"/>
      <c r="Q347" s="3"/>
      <c r="R347" s="3"/>
      <c r="S347" s="3"/>
      <c r="T347" s="3">
        <v>4386.3850000000002</v>
      </c>
    </row>
    <row r="348" spans="10:20" x14ac:dyDescent="0.3">
      <c r="J348" s="6">
        <v>886.78</v>
      </c>
      <c r="K348" s="3">
        <v>2744.97</v>
      </c>
      <c r="M348" s="6">
        <v>31.62</v>
      </c>
      <c r="N348" s="3"/>
      <c r="O348" s="3">
        <v>6512.68</v>
      </c>
      <c r="P348" s="3"/>
      <c r="Q348" s="3"/>
      <c r="R348" s="3"/>
      <c r="S348" s="3"/>
      <c r="T348" s="3">
        <v>6512.68</v>
      </c>
    </row>
    <row r="349" spans="10:20" x14ac:dyDescent="0.3">
      <c r="J349" s="6">
        <v>888.65</v>
      </c>
      <c r="K349" s="3">
        <v>5378.37</v>
      </c>
      <c r="M349" s="6">
        <v>31.72</v>
      </c>
      <c r="N349" s="3"/>
      <c r="O349" s="3">
        <v>3821.84</v>
      </c>
      <c r="P349" s="3"/>
      <c r="Q349" s="3"/>
      <c r="R349" s="3">
        <v>5417.28</v>
      </c>
      <c r="S349" s="3"/>
      <c r="T349" s="3">
        <v>4619.5599999999995</v>
      </c>
    </row>
    <row r="350" spans="10:20" x14ac:dyDescent="0.3">
      <c r="J350" s="6">
        <v>888.85</v>
      </c>
      <c r="K350" s="3">
        <v>1981.08</v>
      </c>
      <c r="M350" s="6">
        <v>31.75</v>
      </c>
      <c r="N350" s="3"/>
      <c r="O350" s="3">
        <v>4683.1899999999996</v>
      </c>
      <c r="P350" s="3"/>
      <c r="Q350" s="3"/>
      <c r="R350" s="3"/>
      <c r="S350" s="3"/>
      <c r="T350" s="3">
        <v>4683.1899999999996</v>
      </c>
    </row>
    <row r="351" spans="10:20" x14ac:dyDescent="0.3">
      <c r="J351" s="6">
        <v>893.43</v>
      </c>
      <c r="K351" s="3">
        <v>3538.23</v>
      </c>
      <c r="M351" s="6">
        <v>31.8</v>
      </c>
      <c r="N351" s="3"/>
      <c r="O351" s="3"/>
      <c r="P351" s="3"/>
      <c r="Q351" s="3">
        <v>1513.68</v>
      </c>
      <c r="R351" s="3">
        <v>2272.63</v>
      </c>
      <c r="S351" s="3"/>
      <c r="T351" s="3">
        <v>1893.1550000000002</v>
      </c>
    </row>
    <row r="352" spans="10:20" x14ac:dyDescent="0.3">
      <c r="J352" s="6">
        <v>894.62</v>
      </c>
      <c r="K352" s="3">
        <v>1389.56</v>
      </c>
      <c r="M352" s="6">
        <v>31.84</v>
      </c>
      <c r="N352" s="3">
        <v>2317.2150000000001</v>
      </c>
      <c r="O352" s="3"/>
      <c r="P352" s="3"/>
      <c r="Q352" s="3"/>
      <c r="R352" s="3">
        <v>1835.07</v>
      </c>
      <c r="S352" s="3"/>
      <c r="T352" s="3">
        <v>2156.5</v>
      </c>
    </row>
    <row r="353" spans="10:20" x14ac:dyDescent="0.3">
      <c r="J353" s="6">
        <v>896.17</v>
      </c>
      <c r="K353" s="3">
        <v>2212.41</v>
      </c>
      <c r="M353" s="6">
        <v>31.86</v>
      </c>
      <c r="N353" s="3"/>
      <c r="O353" s="3">
        <v>3753.49</v>
      </c>
      <c r="P353" s="3"/>
      <c r="Q353" s="3"/>
      <c r="R353" s="3"/>
      <c r="S353" s="3"/>
      <c r="T353" s="3">
        <v>3753.49</v>
      </c>
    </row>
    <row r="354" spans="10:20" x14ac:dyDescent="0.3">
      <c r="J354" s="6">
        <v>902.55</v>
      </c>
      <c r="K354" s="3">
        <v>5476.65</v>
      </c>
      <c r="M354" s="6">
        <v>31.88</v>
      </c>
      <c r="N354" s="3"/>
      <c r="O354" s="3"/>
      <c r="P354" s="3"/>
      <c r="Q354" s="3"/>
      <c r="R354" s="3">
        <v>3019.37</v>
      </c>
      <c r="S354" s="3"/>
      <c r="T354" s="3">
        <v>3019.37</v>
      </c>
    </row>
    <row r="355" spans="10:20" x14ac:dyDescent="0.3">
      <c r="J355" s="6">
        <v>904.05</v>
      </c>
      <c r="K355" s="3">
        <v>2686.51</v>
      </c>
      <c r="M355" s="6">
        <v>31.91</v>
      </c>
      <c r="N355" s="3"/>
      <c r="O355" s="3">
        <v>4299.9799999999996</v>
      </c>
      <c r="P355" s="3"/>
      <c r="Q355" s="3"/>
      <c r="R355" s="3"/>
      <c r="S355" s="3"/>
      <c r="T355" s="3">
        <v>4299.9799999999996</v>
      </c>
    </row>
    <row r="356" spans="10:20" x14ac:dyDescent="0.3">
      <c r="J356" s="6">
        <v>904.9</v>
      </c>
      <c r="K356" s="3">
        <v>6648.91</v>
      </c>
      <c r="M356" s="6">
        <v>31.99</v>
      </c>
      <c r="N356" s="3">
        <v>5847.04</v>
      </c>
      <c r="O356" s="3"/>
      <c r="P356" s="3"/>
      <c r="Q356" s="3">
        <v>6172.83</v>
      </c>
      <c r="R356" s="3"/>
      <c r="S356" s="3"/>
      <c r="T356" s="3">
        <v>6009.9349999999995</v>
      </c>
    </row>
    <row r="357" spans="10:20" x14ac:dyDescent="0.3">
      <c r="J357" s="6">
        <v>906.96</v>
      </c>
      <c r="K357" s="3">
        <v>3819.47</v>
      </c>
      <c r="M357" s="6">
        <v>32.020000000000003</v>
      </c>
      <c r="N357" s="3">
        <v>1301.31</v>
      </c>
      <c r="O357" s="3"/>
      <c r="P357" s="3"/>
      <c r="Q357" s="3"/>
      <c r="R357" s="3"/>
      <c r="S357" s="3"/>
      <c r="T357" s="3">
        <v>1301.31</v>
      </c>
    </row>
    <row r="358" spans="10:20" x14ac:dyDescent="0.3">
      <c r="J358" s="6">
        <v>907.9</v>
      </c>
      <c r="K358" s="3">
        <v>5450.16</v>
      </c>
      <c r="M358" s="6">
        <v>32.03</v>
      </c>
      <c r="N358" s="3"/>
      <c r="O358" s="3"/>
      <c r="P358" s="3"/>
      <c r="Q358" s="3"/>
      <c r="R358" s="3"/>
      <c r="S358" s="3">
        <v>5358.47</v>
      </c>
      <c r="T358" s="3">
        <v>5358.47</v>
      </c>
    </row>
    <row r="359" spans="10:20" x14ac:dyDescent="0.3">
      <c r="J359" s="6">
        <v>908.83</v>
      </c>
      <c r="K359" s="3">
        <v>5190.88</v>
      </c>
      <c r="M359" s="6">
        <v>32.049999999999997</v>
      </c>
      <c r="N359" s="3"/>
      <c r="O359" s="3"/>
      <c r="P359" s="3"/>
      <c r="Q359" s="3"/>
      <c r="R359" s="3"/>
      <c r="S359" s="3">
        <v>4628.1099999999997</v>
      </c>
      <c r="T359" s="3">
        <v>4628.1099999999997</v>
      </c>
    </row>
    <row r="360" spans="10:20" x14ac:dyDescent="0.3">
      <c r="J360" s="6">
        <v>911.16</v>
      </c>
      <c r="K360" s="3">
        <v>2290.12</v>
      </c>
      <c r="M360" s="6">
        <v>32.07</v>
      </c>
      <c r="N360" s="3"/>
      <c r="O360" s="3"/>
      <c r="P360" s="3"/>
      <c r="Q360" s="3">
        <v>5716.49</v>
      </c>
      <c r="R360" s="3"/>
      <c r="S360" s="3"/>
      <c r="T360" s="3">
        <v>5716.49</v>
      </c>
    </row>
    <row r="361" spans="10:20" x14ac:dyDescent="0.3">
      <c r="J361" s="6">
        <v>912.47</v>
      </c>
      <c r="K361" s="3">
        <v>2118.5</v>
      </c>
      <c r="M361" s="6">
        <v>32.090000000000003</v>
      </c>
      <c r="N361" s="3"/>
      <c r="O361" s="3"/>
      <c r="P361" s="3">
        <v>3285.3</v>
      </c>
      <c r="Q361" s="3"/>
      <c r="R361" s="3"/>
      <c r="S361" s="3"/>
      <c r="T361" s="3">
        <v>3285.3</v>
      </c>
    </row>
    <row r="362" spans="10:20" x14ac:dyDescent="0.3">
      <c r="J362" s="6">
        <v>917.2</v>
      </c>
      <c r="K362" s="3">
        <v>2047.29</v>
      </c>
      <c r="M362" s="6">
        <v>32.119999999999997</v>
      </c>
      <c r="N362" s="3"/>
      <c r="O362" s="3">
        <v>4685.74</v>
      </c>
      <c r="P362" s="3"/>
      <c r="Q362" s="3"/>
      <c r="R362" s="3"/>
      <c r="S362" s="3"/>
      <c r="T362" s="3">
        <v>4685.74</v>
      </c>
    </row>
    <row r="363" spans="10:20" x14ac:dyDescent="0.3">
      <c r="J363" s="6">
        <v>917.3</v>
      </c>
      <c r="K363" s="3">
        <v>1901.44</v>
      </c>
      <c r="M363" s="6">
        <v>32.130000000000003</v>
      </c>
      <c r="N363" s="3"/>
      <c r="O363" s="3">
        <v>3838.96</v>
      </c>
      <c r="P363" s="3"/>
      <c r="Q363" s="3"/>
      <c r="R363" s="3"/>
      <c r="S363" s="3"/>
      <c r="T363" s="3">
        <v>3838.96</v>
      </c>
    </row>
    <row r="364" spans="10:20" x14ac:dyDescent="0.3">
      <c r="J364" s="6">
        <v>920.31</v>
      </c>
      <c r="K364" s="3">
        <v>2009.4</v>
      </c>
      <c r="M364" s="6">
        <v>32.200000000000003</v>
      </c>
      <c r="N364" s="3"/>
      <c r="O364" s="3">
        <v>6184.98</v>
      </c>
      <c r="P364" s="3"/>
      <c r="Q364" s="3"/>
      <c r="R364" s="3"/>
      <c r="S364" s="3"/>
      <c r="T364" s="3">
        <v>6184.98</v>
      </c>
    </row>
    <row r="365" spans="10:20" x14ac:dyDescent="0.3">
      <c r="J365" s="6">
        <v>920.63</v>
      </c>
      <c r="K365" s="3">
        <v>4483.88</v>
      </c>
      <c r="M365" s="6">
        <v>32.229999999999997</v>
      </c>
      <c r="N365" s="3"/>
      <c r="O365" s="3"/>
      <c r="P365" s="3"/>
      <c r="Q365" s="3"/>
      <c r="R365" s="3"/>
      <c r="S365" s="3">
        <v>3194.7</v>
      </c>
      <c r="T365" s="3">
        <v>3194.7</v>
      </c>
    </row>
    <row r="366" spans="10:20" x14ac:dyDescent="0.3">
      <c r="J366" s="6">
        <v>922.04</v>
      </c>
      <c r="K366" s="3">
        <v>6846.39</v>
      </c>
      <c r="M366" s="6">
        <v>32.26</v>
      </c>
      <c r="N366" s="3"/>
      <c r="O366" s="3"/>
      <c r="P366" s="3"/>
      <c r="Q366" s="3"/>
      <c r="R366" s="3"/>
      <c r="S366" s="3">
        <v>3354.53</v>
      </c>
      <c r="T366" s="3">
        <v>3354.53</v>
      </c>
    </row>
    <row r="367" spans="10:20" x14ac:dyDescent="0.3">
      <c r="J367" s="6">
        <v>923.73</v>
      </c>
      <c r="K367" s="3">
        <v>4347.78</v>
      </c>
      <c r="M367" s="6">
        <v>32.29</v>
      </c>
      <c r="N367" s="3"/>
      <c r="O367" s="3"/>
      <c r="P367" s="3"/>
      <c r="Q367" s="3">
        <v>5341.48</v>
      </c>
      <c r="R367" s="3"/>
      <c r="S367" s="3"/>
      <c r="T367" s="3">
        <v>5341.48</v>
      </c>
    </row>
    <row r="368" spans="10:20" x14ac:dyDescent="0.3">
      <c r="J368" s="6">
        <v>923.98</v>
      </c>
      <c r="K368" s="3">
        <v>6669.93</v>
      </c>
      <c r="M368" s="6">
        <v>32.32</v>
      </c>
      <c r="N368" s="3">
        <v>3650.3</v>
      </c>
      <c r="O368" s="3"/>
      <c r="P368" s="3"/>
      <c r="Q368" s="3"/>
      <c r="R368" s="3"/>
      <c r="S368" s="3"/>
      <c r="T368" s="3">
        <v>3650.3</v>
      </c>
    </row>
    <row r="369" spans="10:20" x14ac:dyDescent="0.3">
      <c r="J369" s="6">
        <v>926.6</v>
      </c>
      <c r="K369" s="3">
        <v>3226.07</v>
      </c>
      <c r="M369" s="6">
        <v>32.35</v>
      </c>
      <c r="N369" s="3">
        <v>4348.12</v>
      </c>
      <c r="O369" s="3"/>
      <c r="P369" s="3">
        <v>5595.52</v>
      </c>
      <c r="Q369" s="3"/>
      <c r="R369" s="3"/>
      <c r="S369" s="3"/>
      <c r="T369" s="3">
        <v>4971.82</v>
      </c>
    </row>
    <row r="370" spans="10:20" x14ac:dyDescent="0.3">
      <c r="J370" s="6">
        <v>927.08</v>
      </c>
      <c r="K370" s="3">
        <v>3985.14</v>
      </c>
      <c r="M370" s="6">
        <v>32.36</v>
      </c>
      <c r="N370" s="3"/>
      <c r="O370" s="3"/>
      <c r="P370" s="3">
        <v>3945.69</v>
      </c>
      <c r="Q370" s="3"/>
      <c r="R370" s="3"/>
      <c r="S370" s="3"/>
      <c r="T370" s="3">
        <v>3945.69</v>
      </c>
    </row>
    <row r="371" spans="10:20" x14ac:dyDescent="0.3">
      <c r="J371" s="6">
        <v>928.21</v>
      </c>
      <c r="K371" s="3">
        <v>4920.7299999999996</v>
      </c>
      <c r="M371" s="6">
        <v>32.450000000000003</v>
      </c>
      <c r="N371" s="3"/>
      <c r="O371" s="3">
        <v>3534.77</v>
      </c>
      <c r="P371" s="3"/>
      <c r="Q371" s="3"/>
      <c r="R371" s="3"/>
      <c r="S371" s="3"/>
      <c r="T371" s="3">
        <v>3534.77</v>
      </c>
    </row>
    <row r="372" spans="10:20" x14ac:dyDescent="0.3">
      <c r="J372" s="6">
        <v>931.29</v>
      </c>
      <c r="K372" s="3">
        <v>6770.43</v>
      </c>
      <c r="M372" s="6">
        <v>32.47</v>
      </c>
      <c r="N372" s="3">
        <v>5606.69</v>
      </c>
      <c r="O372" s="3"/>
      <c r="P372" s="3">
        <v>1684.08</v>
      </c>
      <c r="Q372" s="3"/>
      <c r="R372" s="3"/>
      <c r="S372" s="3"/>
      <c r="T372" s="3">
        <v>3645.3849999999998</v>
      </c>
    </row>
    <row r="373" spans="10:20" x14ac:dyDescent="0.3">
      <c r="J373" s="6">
        <v>931.52</v>
      </c>
      <c r="K373" s="3">
        <v>6960.9</v>
      </c>
      <c r="M373" s="6">
        <v>32.479999999999997</v>
      </c>
      <c r="N373" s="3"/>
      <c r="O373" s="3"/>
      <c r="P373" s="3">
        <v>5141.67</v>
      </c>
      <c r="Q373" s="3"/>
      <c r="R373" s="3">
        <v>2529.34</v>
      </c>
      <c r="S373" s="3"/>
      <c r="T373" s="3">
        <v>3835.5050000000001</v>
      </c>
    </row>
    <row r="374" spans="10:20" x14ac:dyDescent="0.3">
      <c r="J374" s="6">
        <v>932.44</v>
      </c>
      <c r="K374" s="3">
        <v>1924.47</v>
      </c>
      <c r="M374" s="6">
        <v>32.520000000000003</v>
      </c>
      <c r="N374" s="3"/>
      <c r="O374" s="3"/>
      <c r="P374" s="3"/>
      <c r="Q374" s="3">
        <v>2198</v>
      </c>
      <c r="R374" s="3"/>
      <c r="S374" s="3"/>
      <c r="T374" s="3">
        <v>2198</v>
      </c>
    </row>
    <row r="375" spans="10:20" x14ac:dyDescent="0.3">
      <c r="J375" s="6">
        <v>932.97</v>
      </c>
      <c r="K375" s="3">
        <v>3616.74</v>
      </c>
      <c r="M375" s="6">
        <v>32.53</v>
      </c>
      <c r="N375" s="3"/>
      <c r="O375" s="3"/>
      <c r="P375" s="3"/>
      <c r="Q375" s="3"/>
      <c r="R375" s="3">
        <v>3763.71</v>
      </c>
      <c r="S375" s="3"/>
      <c r="T375" s="3">
        <v>3763.71</v>
      </c>
    </row>
    <row r="376" spans="10:20" x14ac:dyDescent="0.3">
      <c r="J376" s="6">
        <v>933.99</v>
      </c>
      <c r="K376" s="3">
        <v>2339.42</v>
      </c>
      <c r="M376" s="6">
        <v>32.549999999999997</v>
      </c>
      <c r="N376" s="3"/>
      <c r="O376" s="3"/>
      <c r="P376" s="3"/>
      <c r="Q376" s="3"/>
      <c r="R376" s="3">
        <v>6107.77</v>
      </c>
      <c r="S376" s="3"/>
      <c r="T376" s="3">
        <v>6107.77</v>
      </c>
    </row>
    <row r="377" spans="10:20" x14ac:dyDescent="0.3">
      <c r="J377" s="6">
        <v>938.54</v>
      </c>
      <c r="K377" s="3">
        <v>3285.3</v>
      </c>
      <c r="M377" s="6">
        <v>32.65</v>
      </c>
      <c r="N377" s="3"/>
      <c r="O377" s="3"/>
      <c r="P377" s="3"/>
      <c r="Q377" s="3"/>
      <c r="R377" s="3">
        <v>4270.71</v>
      </c>
      <c r="S377" s="3"/>
      <c r="T377" s="3">
        <v>4270.71</v>
      </c>
    </row>
    <row r="378" spans="10:20" x14ac:dyDescent="0.3">
      <c r="J378" s="6">
        <v>939.75</v>
      </c>
      <c r="K378" s="3">
        <v>6096.65</v>
      </c>
      <c r="M378" s="6">
        <v>32.700000000000003</v>
      </c>
      <c r="N378" s="3"/>
      <c r="O378" s="3"/>
      <c r="P378" s="3"/>
      <c r="Q378" s="3"/>
      <c r="R378" s="3"/>
      <c r="S378" s="3">
        <v>2446.92</v>
      </c>
      <c r="T378" s="3">
        <v>2446.92</v>
      </c>
    </row>
    <row r="379" spans="10:20" x14ac:dyDescent="0.3">
      <c r="J379" s="6">
        <v>942.51</v>
      </c>
      <c r="K379" s="3">
        <v>1984.93</v>
      </c>
      <c r="M379" s="6">
        <v>32.72</v>
      </c>
      <c r="N379" s="3">
        <v>1803.29</v>
      </c>
      <c r="O379" s="3"/>
      <c r="P379" s="3"/>
      <c r="Q379" s="3"/>
      <c r="R379" s="3"/>
      <c r="S379" s="3"/>
      <c r="T379" s="3">
        <v>1803.29</v>
      </c>
    </row>
    <row r="380" spans="10:20" x14ac:dyDescent="0.3">
      <c r="J380" s="6">
        <v>942.88</v>
      </c>
      <c r="K380" s="3">
        <v>1723.94</v>
      </c>
      <c r="M380" s="6">
        <v>32.74</v>
      </c>
      <c r="N380" s="3"/>
      <c r="O380" s="3"/>
      <c r="P380" s="3"/>
      <c r="Q380" s="3"/>
      <c r="R380" s="3">
        <v>4249.2700000000004</v>
      </c>
      <c r="S380" s="3"/>
      <c r="T380" s="3">
        <v>4249.2700000000004</v>
      </c>
    </row>
    <row r="381" spans="10:20" x14ac:dyDescent="0.3">
      <c r="J381" s="6">
        <v>944.71</v>
      </c>
      <c r="K381" s="3">
        <v>3297.83</v>
      </c>
      <c r="M381" s="6">
        <v>32.82</v>
      </c>
      <c r="N381" s="3"/>
      <c r="O381" s="3"/>
      <c r="P381" s="3"/>
      <c r="Q381" s="3"/>
      <c r="R381" s="3"/>
      <c r="S381" s="3">
        <v>1673.25</v>
      </c>
      <c r="T381" s="3">
        <v>1673.25</v>
      </c>
    </row>
    <row r="382" spans="10:20" x14ac:dyDescent="0.3">
      <c r="J382" s="6">
        <v>945.8</v>
      </c>
      <c r="K382" s="3">
        <v>4143.78</v>
      </c>
      <c r="M382" s="6">
        <v>32.840000000000003</v>
      </c>
      <c r="N382" s="3"/>
      <c r="O382" s="3">
        <v>4105.66</v>
      </c>
      <c r="P382" s="3"/>
      <c r="Q382" s="3"/>
      <c r="R382" s="3"/>
      <c r="S382" s="3"/>
      <c r="T382" s="3">
        <v>4105.66</v>
      </c>
    </row>
    <row r="383" spans="10:20" x14ac:dyDescent="0.3">
      <c r="J383" s="6">
        <v>946.77</v>
      </c>
      <c r="K383" s="3">
        <v>5106.3999999999996</v>
      </c>
      <c r="M383" s="6">
        <v>32.880000000000003</v>
      </c>
      <c r="N383" s="3"/>
      <c r="O383" s="3"/>
      <c r="P383" s="3"/>
      <c r="Q383" s="3">
        <v>2397.9899999999998</v>
      </c>
      <c r="R383" s="3"/>
      <c r="S383" s="3"/>
      <c r="T383" s="3">
        <v>2397.9899999999998</v>
      </c>
    </row>
    <row r="384" spans="10:20" x14ac:dyDescent="0.3">
      <c r="J384" s="6">
        <v>947.29</v>
      </c>
      <c r="K384" s="3">
        <v>2829.02</v>
      </c>
      <c r="M384" s="6">
        <v>32.96</v>
      </c>
      <c r="N384" s="3"/>
      <c r="O384" s="3">
        <v>1758.47</v>
      </c>
      <c r="P384" s="3"/>
      <c r="Q384" s="3"/>
      <c r="R384" s="3"/>
      <c r="S384" s="3"/>
      <c r="T384" s="3">
        <v>1758.47</v>
      </c>
    </row>
    <row r="385" spans="10:20" x14ac:dyDescent="0.3">
      <c r="J385" s="6">
        <v>949.33</v>
      </c>
      <c r="K385" s="3">
        <v>4433.7</v>
      </c>
      <c r="M385" s="6">
        <v>33.01</v>
      </c>
      <c r="N385" s="3">
        <v>5546.66</v>
      </c>
      <c r="O385" s="3"/>
      <c r="P385" s="3"/>
      <c r="Q385" s="3"/>
      <c r="R385" s="3"/>
      <c r="S385" s="3"/>
      <c r="T385" s="3">
        <v>5546.66</v>
      </c>
    </row>
    <row r="386" spans="10:20" x14ac:dyDescent="0.3">
      <c r="J386" s="6">
        <v>949.8</v>
      </c>
      <c r="K386" s="3">
        <v>3711.95</v>
      </c>
      <c r="M386" s="6">
        <v>33.020000000000003</v>
      </c>
      <c r="N386" s="3"/>
      <c r="O386" s="3"/>
      <c r="P386" s="3"/>
      <c r="Q386" s="3">
        <v>4518.79</v>
      </c>
      <c r="R386" s="3"/>
      <c r="S386" s="3"/>
      <c r="T386" s="3">
        <v>4518.79</v>
      </c>
    </row>
    <row r="387" spans="10:20" x14ac:dyDescent="0.3">
      <c r="J387" s="6">
        <v>950.17</v>
      </c>
      <c r="K387" s="3">
        <v>6906.37</v>
      </c>
      <c r="M387" s="6">
        <v>33.04</v>
      </c>
      <c r="N387" s="3"/>
      <c r="O387" s="3"/>
      <c r="P387" s="3"/>
      <c r="Q387" s="3"/>
      <c r="R387" s="3">
        <v>1812.57</v>
      </c>
      <c r="S387" s="3"/>
      <c r="T387" s="3">
        <v>1812.57</v>
      </c>
    </row>
    <row r="388" spans="10:20" x14ac:dyDescent="0.3">
      <c r="J388" s="6">
        <v>952.33</v>
      </c>
      <c r="K388" s="3">
        <v>3333.01</v>
      </c>
      <c r="M388" s="6">
        <v>33.090000000000003</v>
      </c>
      <c r="N388" s="3"/>
      <c r="O388" s="3"/>
      <c r="P388" s="3"/>
      <c r="Q388" s="3">
        <v>6383.05</v>
      </c>
      <c r="R388" s="3">
        <v>5143</v>
      </c>
      <c r="S388" s="3"/>
      <c r="T388" s="3">
        <v>5763.0249999999996</v>
      </c>
    </row>
    <row r="389" spans="10:20" x14ac:dyDescent="0.3">
      <c r="J389" s="6">
        <v>953.08</v>
      </c>
      <c r="K389" s="3">
        <v>3714.65</v>
      </c>
      <c r="M389" s="6">
        <v>33.1</v>
      </c>
      <c r="N389" s="3"/>
      <c r="O389" s="3"/>
      <c r="P389" s="3"/>
      <c r="Q389" s="3"/>
      <c r="R389" s="3"/>
      <c r="S389" s="3">
        <v>4347.78</v>
      </c>
      <c r="T389" s="3">
        <v>4347.78</v>
      </c>
    </row>
    <row r="390" spans="10:20" x14ac:dyDescent="0.3">
      <c r="J390" s="6">
        <v>955.74</v>
      </c>
      <c r="K390" s="3">
        <v>5855.8</v>
      </c>
      <c r="M390" s="6">
        <v>33.18</v>
      </c>
      <c r="N390" s="3"/>
      <c r="O390" s="3"/>
      <c r="P390" s="3"/>
      <c r="Q390" s="3">
        <v>2080.23</v>
      </c>
      <c r="R390" s="3"/>
      <c r="S390" s="3"/>
      <c r="T390" s="3">
        <v>2080.23</v>
      </c>
    </row>
    <row r="391" spans="10:20" x14ac:dyDescent="0.3">
      <c r="J391" s="6">
        <v>957.47</v>
      </c>
      <c r="K391" s="3">
        <v>6796.33</v>
      </c>
      <c r="M391" s="6">
        <v>33.24</v>
      </c>
      <c r="N391" s="3">
        <v>5476.65</v>
      </c>
      <c r="O391" s="3"/>
      <c r="P391" s="3"/>
      <c r="Q391" s="3"/>
      <c r="R391" s="3"/>
      <c r="S391" s="3"/>
      <c r="T391" s="3">
        <v>5476.65</v>
      </c>
    </row>
    <row r="392" spans="10:20" x14ac:dyDescent="0.3">
      <c r="J392" s="6">
        <v>958.2</v>
      </c>
      <c r="K392" s="3">
        <v>2876.24</v>
      </c>
      <c r="M392" s="6">
        <v>33.340000000000003</v>
      </c>
      <c r="N392" s="3"/>
      <c r="O392" s="3"/>
      <c r="P392" s="3"/>
      <c r="Q392" s="3"/>
      <c r="R392" s="3"/>
      <c r="S392" s="3">
        <v>3010.25</v>
      </c>
      <c r="T392" s="3">
        <v>3010.25</v>
      </c>
    </row>
    <row r="393" spans="10:20" x14ac:dyDescent="0.3">
      <c r="J393" s="6">
        <v>958.49</v>
      </c>
      <c r="K393" s="3">
        <v>5597.08</v>
      </c>
      <c r="M393" s="6">
        <v>33.36</v>
      </c>
      <c r="N393" s="3"/>
      <c r="O393" s="3"/>
      <c r="P393" s="3"/>
      <c r="Q393" s="3"/>
      <c r="R393" s="3">
        <v>3253.19</v>
      </c>
      <c r="S393" s="3"/>
      <c r="T393" s="3">
        <v>3253.19</v>
      </c>
    </row>
    <row r="394" spans="10:20" x14ac:dyDescent="0.3">
      <c r="J394" s="6">
        <v>959.49</v>
      </c>
      <c r="K394" s="3">
        <v>3650.3</v>
      </c>
      <c r="M394" s="6">
        <v>33.42</v>
      </c>
      <c r="N394" s="3">
        <v>1491.62</v>
      </c>
      <c r="O394" s="3"/>
      <c r="P394" s="3"/>
      <c r="Q394" s="3"/>
      <c r="R394" s="3"/>
      <c r="S394" s="3"/>
      <c r="T394" s="3">
        <v>1491.62</v>
      </c>
    </row>
    <row r="395" spans="10:20" x14ac:dyDescent="0.3">
      <c r="J395" s="6">
        <v>962.51</v>
      </c>
      <c r="K395" s="3">
        <v>4833.7</v>
      </c>
      <c r="M395" s="6">
        <v>33.450000000000003</v>
      </c>
      <c r="N395" s="3">
        <v>4326.8500000000004</v>
      </c>
      <c r="O395" s="3"/>
      <c r="P395" s="3"/>
      <c r="Q395" s="3"/>
      <c r="R395" s="3"/>
      <c r="S395" s="3"/>
      <c r="T395" s="3">
        <v>4326.8500000000004</v>
      </c>
    </row>
    <row r="396" spans="10:20" x14ac:dyDescent="0.3">
      <c r="J396" s="6">
        <v>963.12</v>
      </c>
      <c r="K396" s="3">
        <v>4095.46</v>
      </c>
      <c r="M396" s="6">
        <v>33.46</v>
      </c>
      <c r="N396" s="3"/>
      <c r="O396" s="3"/>
      <c r="P396" s="3"/>
      <c r="Q396" s="3"/>
      <c r="R396" s="3">
        <v>6835.36</v>
      </c>
      <c r="S396" s="3"/>
      <c r="T396" s="3">
        <v>6835.36</v>
      </c>
    </row>
    <row r="397" spans="10:20" x14ac:dyDescent="0.3">
      <c r="J397" s="6">
        <v>964.24</v>
      </c>
      <c r="K397" s="3">
        <v>5054.87</v>
      </c>
      <c r="M397" s="6">
        <v>33.5</v>
      </c>
      <c r="N397" s="3"/>
      <c r="O397" s="3">
        <v>2566.88</v>
      </c>
      <c r="P397" s="3"/>
      <c r="Q397" s="3"/>
      <c r="R397" s="3"/>
      <c r="S397" s="3"/>
      <c r="T397" s="3">
        <v>2566.88</v>
      </c>
    </row>
    <row r="398" spans="10:20" x14ac:dyDescent="0.3">
      <c r="J398" s="6">
        <v>965.87</v>
      </c>
      <c r="K398" s="3">
        <v>6681.75</v>
      </c>
      <c r="M398" s="6">
        <v>33.56</v>
      </c>
      <c r="N398" s="3"/>
      <c r="O398" s="3"/>
      <c r="P398" s="3"/>
      <c r="Q398" s="3"/>
      <c r="R398" s="3">
        <v>5514.35</v>
      </c>
      <c r="S398" s="3"/>
      <c r="T398" s="3">
        <v>5514.35</v>
      </c>
    </row>
    <row r="399" spans="10:20" x14ac:dyDescent="0.3">
      <c r="J399" s="6">
        <v>971</v>
      </c>
      <c r="K399" s="3">
        <v>6967.21</v>
      </c>
      <c r="M399" s="6">
        <v>33.57</v>
      </c>
      <c r="N399" s="3"/>
      <c r="O399" s="3"/>
      <c r="P399" s="3">
        <v>4368.01</v>
      </c>
      <c r="Q399" s="3"/>
      <c r="R399" s="3"/>
      <c r="S399" s="3"/>
      <c r="T399" s="3">
        <v>4368.01</v>
      </c>
    </row>
    <row r="400" spans="10:20" x14ac:dyDescent="0.3">
      <c r="J400" s="6">
        <v>971.1</v>
      </c>
      <c r="K400" s="3">
        <v>1925.52</v>
      </c>
      <c r="M400" s="6">
        <v>33.58</v>
      </c>
      <c r="N400" s="3"/>
      <c r="O400" s="3"/>
      <c r="P400" s="3"/>
      <c r="Q400" s="3"/>
      <c r="R400" s="3">
        <v>5562.04</v>
      </c>
      <c r="S400" s="3"/>
      <c r="T400" s="3">
        <v>5562.04</v>
      </c>
    </row>
    <row r="401" spans="10:20" x14ac:dyDescent="0.3">
      <c r="J401" s="6">
        <v>973.46</v>
      </c>
      <c r="K401" s="3">
        <v>3205.37</v>
      </c>
      <c r="M401" s="6">
        <v>33.6</v>
      </c>
      <c r="N401" s="3"/>
      <c r="O401" s="3"/>
      <c r="P401" s="3"/>
      <c r="Q401" s="3"/>
      <c r="R401" s="3"/>
      <c r="S401" s="3">
        <v>6462.14</v>
      </c>
      <c r="T401" s="3">
        <v>6462.14</v>
      </c>
    </row>
    <row r="402" spans="10:20" x14ac:dyDescent="0.3">
      <c r="J402" s="6">
        <v>973.53</v>
      </c>
      <c r="K402" s="3">
        <v>1413.56</v>
      </c>
      <c r="M402" s="6">
        <v>33.659999999999997</v>
      </c>
      <c r="N402" s="3"/>
      <c r="O402" s="3"/>
      <c r="P402" s="3"/>
      <c r="Q402" s="3"/>
      <c r="R402" s="3"/>
      <c r="S402" s="3">
        <v>1325.61</v>
      </c>
      <c r="T402" s="3">
        <v>1325.61</v>
      </c>
    </row>
    <row r="403" spans="10:20" x14ac:dyDescent="0.3">
      <c r="J403" s="6">
        <v>974.19</v>
      </c>
      <c r="K403" s="3">
        <v>3902.56</v>
      </c>
      <c r="M403" s="6">
        <v>33.67</v>
      </c>
      <c r="N403" s="3"/>
      <c r="O403" s="3"/>
      <c r="P403" s="3"/>
      <c r="Q403" s="3"/>
      <c r="R403" s="3">
        <v>6669.93</v>
      </c>
      <c r="S403" s="3"/>
      <c r="T403" s="3">
        <v>6669.93</v>
      </c>
    </row>
    <row r="404" spans="10:20" x14ac:dyDescent="0.3">
      <c r="J404" s="6">
        <v>979.67</v>
      </c>
      <c r="K404" s="3">
        <v>6853.88</v>
      </c>
      <c r="M404" s="6">
        <v>33.74</v>
      </c>
      <c r="N404" s="3"/>
      <c r="O404" s="3"/>
      <c r="P404" s="3"/>
      <c r="Q404" s="3"/>
      <c r="R404" s="3">
        <v>4636.96</v>
      </c>
      <c r="S404" s="3"/>
      <c r="T404" s="3">
        <v>4636.96</v>
      </c>
    </row>
    <row r="405" spans="10:20" x14ac:dyDescent="0.3">
      <c r="J405" s="6">
        <v>981.92</v>
      </c>
      <c r="K405" s="3">
        <v>4154.88</v>
      </c>
      <c r="M405" s="6">
        <v>33.770000000000003</v>
      </c>
      <c r="N405" s="3"/>
      <c r="O405" s="3">
        <v>5878.94</v>
      </c>
      <c r="P405" s="3"/>
      <c r="Q405" s="3"/>
      <c r="R405" s="3"/>
      <c r="S405" s="3"/>
      <c r="T405" s="3">
        <v>5878.94</v>
      </c>
    </row>
    <row r="406" spans="10:20" x14ac:dyDescent="0.3">
      <c r="J406" s="6">
        <v>982.9</v>
      </c>
      <c r="K406" s="3">
        <v>4581.46</v>
      </c>
      <c r="M406" s="6">
        <v>33.799999999999997</v>
      </c>
      <c r="N406" s="3"/>
      <c r="O406" s="3"/>
      <c r="P406" s="3"/>
      <c r="Q406" s="3">
        <v>1015.41</v>
      </c>
      <c r="R406" s="3"/>
      <c r="S406" s="3"/>
      <c r="T406" s="3">
        <v>1015.41</v>
      </c>
    </row>
    <row r="407" spans="10:20" x14ac:dyDescent="0.3">
      <c r="J407" s="6">
        <v>983.96</v>
      </c>
      <c r="K407" s="3">
        <v>1064.26</v>
      </c>
      <c r="M407" s="6">
        <v>33.82</v>
      </c>
      <c r="N407" s="3"/>
      <c r="O407" s="3"/>
      <c r="P407" s="3">
        <v>4340.4399999999996</v>
      </c>
      <c r="Q407" s="3"/>
      <c r="R407" s="3"/>
      <c r="S407" s="3"/>
      <c r="T407" s="3">
        <v>4340.4399999999996</v>
      </c>
    </row>
    <row r="408" spans="10:20" x14ac:dyDescent="0.3">
      <c r="J408" s="6">
        <v>988.12</v>
      </c>
      <c r="K408" s="3">
        <v>1825.39</v>
      </c>
      <c r="M408" s="6">
        <v>33.83</v>
      </c>
      <c r="N408" s="3"/>
      <c r="O408" s="3"/>
      <c r="P408" s="3"/>
      <c r="Q408" s="3"/>
      <c r="R408" s="3">
        <v>4695.96</v>
      </c>
      <c r="S408" s="3"/>
      <c r="T408" s="3">
        <v>4695.96</v>
      </c>
    </row>
    <row r="409" spans="10:20" x14ac:dyDescent="0.3">
      <c r="J409" s="6">
        <v>988.43</v>
      </c>
      <c r="K409" s="3">
        <v>1154.68</v>
      </c>
      <c r="M409" s="6">
        <v>33.9</v>
      </c>
      <c r="N409" s="3"/>
      <c r="O409" s="3"/>
      <c r="P409" s="3"/>
      <c r="Q409" s="3">
        <v>1935.95</v>
      </c>
      <c r="R409" s="3"/>
      <c r="S409" s="3"/>
      <c r="T409" s="3">
        <v>1935.95</v>
      </c>
    </row>
    <row r="410" spans="10:20" x14ac:dyDescent="0.3">
      <c r="J410" s="6">
        <v>990.01</v>
      </c>
      <c r="K410" s="3">
        <v>6275.96</v>
      </c>
      <c r="M410" s="6">
        <v>33.950000000000003</v>
      </c>
      <c r="N410" s="3"/>
      <c r="O410" s="3"/>
      <c r="P410" s="3">
        <v>5680.73</v>
      </c>
      <c r="Q410" s="3"/>
      <c r="R410" s="3"/>
      <c r="S410" s="3"/>
      <c r="T410" s="3">
        <v>5680.73</v>
      </c>
    </row>
    <row r="411" spans="10:20" x14ac:dyDescent="0.3">
      <c r="J411" s="6">
        <v>990.72</v>
      </c>
      <c r="K411" s="3">
        <v>6522.35</v>
      </c>
      <c r="M411" s="6">
        <v>33.97</v>
      </c>
      <c r="N411" s="3">
        <v>4433.7</v>
      </c>
      <c r="O411" s="3"/>
      <c r="P411" s="3"/>
      <c r="Q411" s="3"/>
      <c r="R411" s="3"/>
      <c r="S411" s="3"/>
      <c r="T411" s="3">
        <v>4433.7</v>
      </c>
    </row>
    <row r="412" spans="10:20" x14ac:dyDescent="0.3">
      <c r="J412" s="6">
        <v>994.25</v>
      </c>
      <c r="K412" s="3">
        <v>4348.12</v>
      </c>
      <c r="M412" s="6">
        <v>34.01</v>
      </c>
      <c r="N412" s="3"/>
      <c r="O412" s="3"/>
      <c r="P412" s="3"/>
      <c r="Q412" s="3"/>
      <c r="R412" s="3"/>
      <c r="S412" s="3">
        <v>4828.49</v>
      </c>
      <c r="T412" s="3">
        <v>4828.49</v>
      </c>
    </row>
    <row r="413" spans="10:20" x14ac:dyDescent="0.3">
      <c r="J413" s="6">
        <v>995.68</v>
      </c>
      <c r="K413" s="3">
        <v>3750.7</v>
      </c>
      <c r="M413" s="6">
        <v>34.04</v>
      </c>
      <c r="N413" s="3"/>
      <c r="O413" s="3"/>
      <c r="P413" s="3"/>
      <c r="Q413" s="3"/>
      <c r="R413" s="3">
        <v>1520.43</v>
      </c>
      <c r="S413" s="3"/>
      <c r="T413" s="3">
        <v>1520.43</v>
      </c>
    </row>
    <row r="414" spans="10:20" x14ac:dyDescent="0.3">
      <c r="J414" s="6">
        <v>995.88</v>
      </c>
      <c r="K414" s="3">
        <v>3932.2</v>
      </c>
      <c r="M414" s="6">
        <v>34.14</v>
      </c>
      <c r="N414" s="3"/>
      <c r="O414" s="3">
        <v>4383.1000000000004</v>
      </c>
      <c r="P414" s="3"/>
      <c r="Q414" s="3"/>
      <c r="R414" s="3"/>
      <c r="S414" s="3"/>
      <c r="T414" s="3">
        <v>4383.1000000000004</v>
      </c>
    </row>
    <row r="415" spans="10:20" x14ac:dyDescent="0.3">
      <c r="J415" s="6">
        <v>1001.99</v>
      </c>
      <c r="K415" s="3">
        <v>3241.75</v>
      </c>
      <c r="M415" s="6">
        <v>34.159999999999997</v>
      </c>
      <c r="N415" s="3"/>
      <c r="O415" s="3"/>
      <c r="P415" s="3">
        <v>6107.28</v>
      </c>
      <c r="Q415" s="3"/>
      <c r="R415" s="3"/>
      <c r="S415" s="3"/>
      <c r="T415" s="3">
        <v>6107.28</v>
      </c>
    </row>
    <row r="416" spans="10:20" x14ac:dyDescent="0.3">
      <c r="J416" s="6">
        <v>1003.9</v>
      </c>
      <c r="K416" s="3">
        <v>4300.7299999999996</v>
      </c>
      <c r="M416" s="6">
        <v>34.19</v>
      </c>
      <c r="N416" s="3">
        <v>6456.33</v>
      </c>
      <c r="O416" s="3"/>
      <c r="P416" s="3"/>
      <c r="Q416" s="3"/>
      <c r="R416" s="3"/>
      <c r="S416" s="3"/>
      <c r="T416" s="3">
        <v>6456.33</v>
      </c>
    </row>
    <row r="417" spans="10:20" x14ac:dyDescent="0.3">
      <c r="J417" s="6">
        <v>1007.41</v>
      </c>
      <c r="K417" s="3">
        <v>1534.85</v>
      </c>
      <c r="M417" s="6">
        <v>34.200000000000003</v>
      </c>
      <c r="N417" s="3"/>
      <c r="O417" s="3"/>
      <c r="P417" s="3"/>
      <c r="Q417" s="3"/>
      <c r="R417" s="3"/>
      <c r="S417" s="3">
        <v>6272.33</v>
      </c>
      <c r="T417" s="3">
        <v>6272.33</v>
      </c>
    </row>
    <row r="418" spans="10:20" x14ac:dyDescent="0.3">
      <c r="J418" s="6">
        <v>1010.69</v>
      </c>
      <c r="K418" s="3">
        <v>2913.27</v>
      </c>
      <c r="M418" s="6">
        <v>34.21</v>
      </c>
      <c r="N418" s="3"/>
      <c r="O418" s="3"/>
      <c r="P418" s="3">
        <v>5428.63</v>
      </c>
      <c r="Q418" s="3"/>
      <c r="R418" s="3"/>
      <c r="S418" s="3"/>
      <c r="T418" s="3">
        <v>5428.63</v>
      </c>
    </row>
    <row r="419" spans="10:20" x14ac:dyDescent="0.3">
      <c r="J419" s="6">
        <v>1010.97</v>
      </c>
      <c r="K419" s="3">
        <v>4008.2</v>
      </c>
      <c r="M419" s="6">
        <v>34.25</v>
      </c>
      <c r="N419" s="3">
        <v>3714.65</v>
      </c>
      <c r="O419" s="3"/>
      <c r="P419" s="3"/>
      <c r="Q419" s="3"/>
      <c r="R419" s="3">
        <v>2047.29</v>
      </c>
      <c r="S419" s="3"/>
      <c r="T419" s="3">
        <v>2880.9700000000003</v>
      </c>
    </row>
    <row r="420" spans="10:20" x14ac:dyDescent="0.3">
      <c r="J420" s="6">
        <v>1013.92</v>
      </c>
      <c r="K420" s="3">
        <v>3894.25</v>
      </c>
      <c r="M420" s="6">
        <v>34.26</v>
      </c>
      <c r="N420" s="3"/>
      <c r="O420" s="3"/>
      <c r="P420" s="3">
        <v>1545.37</v>
      </c>
      <c r="Q420" s="3"/>
      <c r="R420" s="3"/>
      <c r="S420" s="3"/>
      <c r="T420" s="3">
        <v>1545.37</v>
      </c>
    </row>
    <row r="421" spans="10:20" x14ac:dyDescent="0.3">
      <c r="J421" s="6">
        <v>1014.17</v>
      </c>
      <c r="K421" s="3">
        <v>3763.71</v>
      </c>
      <c r="M421" s="6">
        <v>34.299999999999997</v>
      </c>
      <c r="N421" s="3">
        <v>4833.7</v>
      </c>
      <c r="O421" s="3"/>
      <c r="P421" s="3"/>
      <c r="Q421" s="3"/>
      <c r="R421" s="3"/>
      <c r="S421" s="3"/>
      <c r="T421" s="3">
        <v>4833.7</v>
      </c>
    </row>
    <row r="422" spans="10:20" x14ac:dyDescent="0.3">
      <c r="J422" s="6">
        <v>1016.89</v>
      </c>
      <c r="K422" s="3">
        <v>4017.44</v>
      </c>
      <c r="M422" s="6">
        <v>34.369999999999997</v>
      </c>
      <c r="N422" s="3"/>
      <c r="O422" s="3"/>
      <c r="P422" s="3"/>
      <c r="Q422" s="3"/>
      <c r="R422" s="3"/>
      <c r="S422" s="3">
        <v>5054.87</v>
      </c>
      <c r="T422" s="3">
        <v>5054.87</v>
      </c>
    </row>
    <row r="423" spans="10:20" x14ac:dyDescent="0.3">
      <c r="J423" s="6">
        <v>1017.14</v>
      </c>
      <c r="K423" s="3">
        <v>5680.73</v>
      </c>
      <c r="M423" s="6">
        <v>34.380000000000003</v>
      </c>
      <c r="N423" s="3"/>
      <c r="O423" s="3"/>
      <c r="P423" s="3">
        <v>5160.75</v>
      </c>
      <c r="Q423" s="3"/>
      <c r="R423" s="3"/>
      <c r="S423" s="3"/>
      <c r="T423" s="3">
        <v>5160.75</v>
      </c>
    </row>
    <row r="424" spans="10:20" x14ac:dyDescent="0.3">
      <c r="J424" s="6">
        <v>1018.95</v>
      </c>
      <c r="K424" s="3">
        <v>5657.37</v>
      </c>
      <c r="M424" s="6">
        <v>34.409999999999997</v>
      </c>
      <c r="N424" s="3"/>
      <c r="O424" s="3"/>
      <c r="P424" s="3"/>
      <c r="Q424" s="3"/>
      <c r="R424" s="3"/>
      <c r="S424" s="3">
        <v>2857.11</v>
      </c>
      <c r="T424" s="3">
        <v>2857.11</v>
      </c>
    </row>
    <row r="425" spans="10:20" x14ac:dyDescent="0.3">
      <c r="J425" s="6">
        <v>1020.45</v>
      </c>
      <c r="K425" s="3">
        <v>5982.18</v>
      </c>
      <c r="M425" s="6">
        <v>34.43</v>
      </c>
      <c r="N425" s="3"/>
      <c r="O425" s="3"/>
      <c r="P425" s="3"/>
      <c r="Q425" s="3"/>
      <c r="R425" s="3">
        <v>6442.2</v>
      </c>
      <c r="S425" s="3"/>
      <c r="T425" s="3">
        <v>6442.2</v>
      </c>
    </row>
    <row r="426" spans="10:20" x14ac:dyDescent="0.3">
      <c r="J426" s="6">
        <v>1022.12</v>
      </c>
      <c r="K426" s="3">
        <v>2689.1</v>
      </c>
      <c r="M426" s="6">
        <v>34.46</v>
      </c>
      <c r="N426" s="3"/>
      <c r="O426" s="3"/>
      <c r="P426" s="3">
        <v>3154.24</v>
      </c>
      <c r="Q426" s="3"/>
      <c r="R426" s="3"/>
      <c r="S426" s="3"/>
      <c r="T426" s="3">
        <v>3154.24</v>
      </c>
    </row>
    <row r="427" spans="10:20" x14ac:dyDescent="0.3">
      <c r="J427" s="6">
        <v>1025.71</v>
      </c>
      <c r="K427" s="3">
        <v>5341.48</v>
      </c>
      <c r="M427" s="6">
        <v>34.47</v>
      </c>
      <c r="N427" s="3"/>
      <c r="O427" s="3"/>
      <c r="P427" s="3"/>
      <c r="Q427" s="3">
        <v>3851.69</v>
      </c>
      <c r="R427" s="3"/>
      <c r="S427" s="3"/>
      <c r="T427" s="3">
        <v>3851.69</v>
      </c>
    </row>
    <row r="428" spans="10:20" x14ac:dyDescent="0.3">
      <c r="J428" s="6">
        <v>1025.73</v>
      </c>
      <c r="K428" s="3">
        <v>4229.04</v>
      </c>
      <c r="M428" s="6">
        <v>34.5</v>
      </c>
      <c r="N428" s="3">
        <v>1998.03</v>
      </c>
      <c r="O428" s="3"/>
      <c r="P428" s="3"/>
      <c r="Q428" s="3"/>
      <c r="R428" s="3">
        <v>2851.24</v>
      </c>
      <c r="S428" s="3"/>
      <c r="T428" s="3">
        <v>2424.6349999999998</v>
      </c>
    </row>
    <row r="429" spans="10:20" x14ac:dyDescent="0.3">
      <c r="J429" s="6">
        <v>1026.44</v>
      </c>
      <c r="K429" s="3">
        <v>4982.26</v>
      </c>
      <c r="M429" s="6">
        <v>34.520000000000003</v>
      </c>
      <c r="N429" s="3">
        <v>2885.1</v>
      </c>
      <c r="O429" s="3"/>
      <c r="P429" s="3"/>
      <c r="Q429" s="3"/>
      <c r="R429" s="3"/>
      <c r="S429" s="3"/>
      <c r="T429" s="3">
        <v>2885.1</v>
      </c>
    </row>
    <row r="430" spans="10:20" x14ac:dyDescent="0.3">
      <c r="J430" s="6">
        <v>1026.6300000000001</v>
      </c>
      <c r="K430" s="3">
        <v>4267.37</v>
      </c>
      <c r="M430" s="6">
        <v>34.57</v>
      </c>
      <c r="N430" s="3"/>
      <c r="O430" s="3"/>
      <c r="P430" s="3"/>
      <c r="Q430" s="3"/>
      <c r="R430" s="3"/>
      <c r="S430" s="3">
        <v>4909.17</v>
      </c>
      <c r="T430" s="3">
        <v>4909.17</v>
      </c>
    </row>
    <row r="431" spans="10:20" x14ac:dyDescent="0.3">
      <c r="J431" s="6">
        <v>1030.04</v>
      </c>
      <c r="K431" s="3">
        <v>4448.87</v>
      </c>
      <c r="M431" s="6">
        <v>34.58</v>
      </c>
      <c r="N431" s="3"/>
      <c r="O431" s="3"/>
      <c r="P431" s="3">
        <v>2923.86</v>
      </c>
      <c r="Q431" s="3"/>
      <c r="R431" s="3"/>
      <c r="S431" s="3"/>
      <c r="T431" s="3">
        <v>2923.86</v>
      </c>
    </row>
    <row r="432" spans="10:20" x14ac:dyDescent="0.3">
      <c r="J432" s="6">
        <v>1034.5999999999999</v>
      </c>
      <c r="K432" s="3">
        <v>6298.64</v>
      </c>
      <c r="M432" s="6">
        <v>34.61</v>
      </c>
      <c r="N432" s="3"/>
      <c r="O432" s="3">
        <v>3223.45</v>
      </c>
      <c r="P432" s="3"/>
      <c r="Q432" s="3"/>
      <c r="R432" s="3"/>
      <c r="S432" s="3"/>
      <c r="T432" s="3">
        <v>3223.45</v>
      </c>
    </row>
    <row r="433" spans="10:20" x14ac:dyDescent="0.3">
      <c r="J433" s="6">
        <v>1040.51</v>
      </c>
      <c r="K433" s="3">
        <v>3333.14</v>
      </c>
      <c r="M433" s="6">
        <v>34.619999999999997</v>
      </c>
      <c r="N433" s="3"/>
      <c r="O433" s="3"/>
      <c r="P433" s="3"/>
      <c r="Q433" s="3">
        <v>4890.34</v>
      </c>
      <c r="R433" s="3"/>
      <c r="S433" s="3"/>
      <c r="T433" s="3">
        <v>4890.34</v>
      </c>
    </row>
    <row r="434" spans="10:20" x14ac:dyDescent="0.3">
      <c r="J434" s="6">
        <v>1042.54</v>
      </c>
      <c r="K434" s="3">
        <v>5009.29</v>
      </c>
      <c r="M434" s="6">
        <v>34.65</v>
      </c>
      <c r="N434" s="3"/>
      <c r="O434" s="3"/>
      <c r="P434" s="3"/>
      <c r="Q434" s="3"/>
      <c r="R434" s="3"/>
      <c r="S434" s="3">
        <v>2829.02</v>
      </c>
      <c r="T434" s="3">
        <v>2829.02</v>
      </c>
    </row>
    <row r="435" spans="10:20" x14ac:dyDescent="0.3">
      <c r="J435" s="6">
        <v>1042.8499999999999</v>
      </c>
      <c r="K435" s="3">
        <v>6552.35</v>
      </c>
      <c r="M435" s="6">
        <v>34.68</v>
      </c>
      <c r="N435" s="3"/>
      <c r="O435" s="3"/>
      <c r="P435" s="3"/>
      <c r="Q435" s="3"/>
      <c r="R435" s="3"/>
      <c r="S435" s="3">
        <v>5106.3999999999996</v>
      </c>
      <c r="T435" s="3">
        <v>5106.3999999999996</v>
      </c>
    </row>
    <row r="436" spans="10:20" x14ac:dyDescent="0.3">
      <c r="J436" s="6">
        <v>1045.76</v>
      </c>
      <c r="K436" s="3">
        <v>2353.5</v>
      </c>
      <c r="M436" s="6">
        <v>34.69</v>
      </c>
      <c r="N436" s="3"/>
      <c r="O436" s="3"/>
      <c r="P436" s="3"/>
      <c r="Q436" s="3"/>
      <c r="R436" s="3">
        <v>3233.86</v>
      </c>
      <c r="S436" s="3"/>
      <c r="T436" s="3">
        <v>3233.86</v>
      </c>
    </row>
    <row r="437" spans="10:20" x14ac:dyDescent="0.3">
      <c r="J437" s="6">
        <v>1051.3599999999999</v>
      </c>
      <c r="K437" s="3">
        <v>4299.9799999999996</v>
      </c>
      <c r="M437" s="6">
        <v>34.700000000000003</v>
      </c>
      <c r="N437" s="3">
        <v>3990.25</v>
      </c>
      <c r="O437" s="3"/>
      <c r="P437" s="3"/>
      <c r="Q437" s="3"/>
      <c r="R437" s="3"/>
      <c r="S437" s="3"/>
      <c r="T437" s="3">
        <v>3990.25</v>
      </c>
    </row>
    <row r="438" spans="10:20" x14ac:dyDescent="0.3">
      <c r="J438" s="6">
        <v>1052.3399999999999</v>
      </c>
      <c r="K438" s="3">
        <v>3384.9</v>
      </c>
      <c r="M438" s="6">
        <v>34.71</v>
      </c>
      <c r="N438" s="3"/>
      <c r="O438" s="3"/>
      <c r="P438" s="3"/>
      <c r="Q438" s="3"/>
      <c r="R438" s="3">
        <v>3333.14</v>
      </c>
      <c r="S438" s="3"/>
      <c r="T438" s="3">
        <v>3333.14</v>
      </c>
    </row>
    <row r="439" spans="10:20" x14ac:dyDescent="0.3">
      <c r="J439" s="6">
        <v>1053.48</v>
      </c>
      <c r="K439" s="3">
        <v>4890.74</v>
      </c>
      <c r="M439" s="6">
        <v>34.74</v>
      </c>
      <c r="N439" s="3"/>
      <c r="O439" s="3">
        <v>4008.2</v>
      </c>
      <c r="P439" s="3"/>
      <c r="Q439" s="3"/>
      <c r="R439" s="3"/>
      <c r="S439" s="3"/>
      <c r="T439" s="3">
        <v>4008.2</v>
      </c>
    </row>
    <row r="440" spans="10:20" x14ac:dyDescent="0.3">
      <c r="J440" s="6">
        <v>1053.94</v>
      </c>
      <c r="K440" s="3">
        <v>3857.57</v>
      </c>
      <c r="M440" s="6">
        <v>34.81</v>
      </c>
      <c r="N440" s="3"/>
      <c r="O440" s="3"/>
      <c r="P440" s="3"/>
      <c r="Q440" s="3"/>
      <c r="R440" s="3">
        <v>3478.64</v>
      </c>
      <c r="S440" s="3"/>
      <c r="T440" s="3">
        <v>3478.64</v>
      </c>
    </row>
    <row r="441" spans="10:20" x14ac:dyDescent="0.3">
      <c r="J441" s="6">
        <v>1058.5</v>
      </c>
      <c r="K441" s="3">
        <v>5712</v>
      </c>
      <c r="M441" s="6">
        <v>34.840000000000003</v>
      </c>
      <c r="N441" s="3"/>
      <c r="O441" s="3"/>
      <c r="P441" s="3"/>
      <c r="Q441" s="3">
        <v>2196.8200000000002</v>
      </c>
      <c r="R441" s="3"/>
      <c r="S441" s="3"/>
      <c r="T441" s="3">
        <v>2196.8200000000002</v>
      </c>
    </row>
    <row r="442" spans="10:20" x14ac:dyDescent="0.3">
      <c r="J442" s="6">
        <v>1059.3599999999999</v>
      </c>
      <c r="K442" s="3">
        <v>3976.89</v>
      </c>
      <c r="M442" s="6">
        <v>34.869999999999997</v>
      </c>
      <c r="N442" s="3">
        <v>6990.6</v>
      </c>
      <c r="O442" s="3"/>
      <c r="P442" s="3"/>
      <c r="Q442" s="3"/>
      <c r="R442" s="3"/>
      <c r="S442" s="3"/>
      <c r="T442" s="3">
        <v>6990.6</v>
      </c>
    </row>
    <row r="443" spans="10:20" x14ac:dyDescent="0.3">
      <c r="J443" s="6">
        <v>1061.3499999999999</v>
      </c>
      <c r="K443" s="3">
        <v>6246.92</v>
      </c>
      <c r="M443" s="6">
        <v>34.950000000000003</v>
      </c>
      <c r="N443" s="3"/>
      <c r="O443" s="3"/>
      <c r="P443" s="3"/>
      <c r="Q443" s="3">
        <v>2459.83</v>
      </c>
      <c r="R443" s="3"/>
      <c r="S443" s="3"/>
      <c r="T443" s="3">
        <v>2459.83</v>
      </c>
    </row>
    <row r="444" spans="10:20" x14ac:dyDescent="0.3">
      <c r="J444" s="6">
        <v>1061.76</v>
      </c>
      <c r="K444" s="3">
        <v>6000.13</v>
      </c>
      <c r="M444" s="6">
        <v>34.97</v>
      </c>
      <c r="N444" s="3"/>
      <c r="O444" s="3"/>
      <c r="P444" s="3">
        <v>5437.46</v>
      </c>
      <c r="Q444" s="3"/>
      <c r="R444" s="3"/>
      <c r="S444" s="3">
        <v>1904.1</v>
      </c>
      <c r="T444" s="3">
        <v>3670.7799999999997</v>
      </c>
    </row>
    <row r="445" spans="10:20" x14ac:dyDescent="0.3">
      <c r="J445" s="6">
        <v>1062.73</v>
      </c>
      <c r="K445" s="3">
        <v>4181.1899999999996</v>
      </c>
      <c r="M445" s="6">
        <v>34.979999999999997</v>
      </c>
      <c r="N445" s="3"/>
      <c r="O445" s="3"/>
      <c r="P445" s="3"/>
      <c r="Q445" s="3"/>
      <c r="R445" s="3"/>
      <c r="S445" s="3">
        <v>3789.31</v>
      </c>
      <c r="T445" s="3">
        <v>3789.31</v>
      </c>
    </row>
    <row r="446" spans="10:20" x14ac:dyDescent="0.3">
      <c r="J446" s="6">
        <v>1065.31</v>
      </c>
      <c r="K446" s="3">
        <v>6184.98</v>
      </c>
      <c r="M446" s="6" t="s">
        <v>570</v>
      </c>
      <c r="N446" s="3">
        <v>3872.9884615384603</v>
      </c>
      <c r="O446" s="3">
        <v>3952.434324324322</v>
      </c>
      <c r="P446" s="3">
        <v>4188.0214285714301</v>
      </c>
      <c r="Q446" s="3">
        <v>3723.4770129870126</v>
      </c>
      <c r="R446" s="3">
        <v>4108.4250000000011</v>
      </c>
      <c r="S446" s="3">
        <v>4097.2860714285707</v>
      </c>
      <c r="T446" s="3">
        <v>3994.7078000000024</v>
      </c>
    </row>
    <row r="447" spans="10:20" x14ac:dyDescent="0.3">
      <c r="J447" s="6">
        <v>1071.32</v>
      </c>
      <c r="K447" s="3">
        <v>3761.82</v>
      </c>
    </row>
    <row r="448" spans="10:20" x14ac:dyDescent="0.3">
      <c r="J448" s="6">
        <v>1072.43</v>
      </c>
      <c r="K448" s="3">
        <v>3851.69</v>
      </c>
    </row>
    <row r="449" spans="10:11" x14ac:dyDescent="0.3">
      <c r="J449" s="6">
        <v>1075.18</v>
      </c>
      <c r="K449" s="3">
        <v>6107.77</v>
      </c>
    </row>
    <row r="450" spans="10:11" x14ac:dyDescent="0.3">
      <c r="J450" s="6">
        <v>1076.99</v>
      </c>
      <c r="K450" s="3">
        <v>1024.74</v>
      </c>
    </row>
    <row r="451" spans="10:11" x14ac:dyDescent="0.3">
      <c r="J451" s="6">
        <v>1087.17</v>
      </c>
      <c r="K451" s="3">
        <v>6206.32</v>
      </c>
    </row>
    <row r="452" spans="10:11" x14ac:dyDescent="0.3">
      <c r="J452" s="6">
        <v>1088.03</v>
      </c>
      <c r="K452" s="3">
        <v>4464.3900000000003</v>
      </c>
    </row>
    <row r="453" spans="10:11" x14ac:dyDescent="0.3">
      <c r="J453" s="6">
        <v>1088.0899999999999</v>
      </c>
      <c r="K453" s="3">
        <v>5210.68</v>
      </c>
    </row>
    <row r="454" spans="10:11" x14ac:dyDescent="0.3">
      <c r="J454" s="6">
        <v>1091.33</v>
      </c>
      <c r="K454" s="3">
        <v>1812.57</v>
      </c>
    </row>
    <row r="455" spans="10:11" x14ac:dyDescent="0.3">
      <c r="J455" s="6">
        <v>1092.18</v>
      </c>
      <c r="K455" s="3">
        <v>1837.23</v>
      </c>
    </row>
    <row r="456" spans="10:11" x14ac:dyDescent="0.3">
      <c r="J456" s="6">
        <v>1093.8699999999999</v>
      </c>
      <c r="K456" s="3">
        <v>4423.83</v>
      </c>
    </row>
    <row r="457" spans="10:11" x14ac:dyDescent="0.3">
      <c r="J457" s="6">
        <v>1094.1500000000001</v>
      </c>
      <c r="K457" s="3">
        <v>1783.57</v>
      </c>
    </row>
    <row r="458" spans="10:11" x14ac:dyDescent="0.3">
      <c r="J458" s="6">
        <v>1095.7</v>
      </c>
      <c r="K458" s="3">
        <v>3354.53</v>
      </c>
    </row>
    <row r="459" spans="10:11" x14ac:dyDescent="0.3">
      <c r="J459" s="6">
        <v>1099.5899999999999</v>
      </c>
      <c r="K459" s="3">
        <v>5351.12</v>
      </c>
    </row>
    <row r="460" spans="10:11" x14ac:dyDescent="0.3">
      <c r="J460" s="6">
        <v>1099.9000000000001</v>
      </c>
      <c r="K460" s="3">
        <v>4628.1099999999997</v>
      </c>
    </row>
    <row r="461" spans="10:11" x14ac:dyDescent="0.3">
      <c r="J461" s="6">
        <v>1101.27</v>
      </c>
      <c r="K461" s="3">
        <v>6843.04</v>
      </c>
    </row>
    <row r="462" spans="10:11" x14ac:dyDescent="0.3">
      <c r="J462" s="6">
        <v>1102.48</v>
      </c>
      <c r="K462" s="3">
        <v>6990.6</v>
      </c>
    </row>
    <row r="463" spans="10:11" x14ac:dyDescent="0.3">
      <c r="J463" s="6">
        <v>1103.68</v>
      </c>
      <c r="K463" s="3">
        <v>3534.77</v>
      </c>
    </row>
    <row r="464" spans="10:11" x14ac:dyDescent="0.3">
      <c r="J464" s="6">
        <v>1105.42</v>
      </c>
      <c r="K464" s="3">
        <v>1425.96</v>
      </c>
    </row>
    <row r="465" spans="10:11" x14ac:dyDescent="0.3">
      <c r="J465" s="6">
        <v>1105.6300000000001</v>
      </c>
      <c r="K465" s="3">
        <v>2828.15</v>
      </c>
    </row>
    <row r="466" spans="10:11" x14ac:dyDescent="0.3">
      <c r="J466" s="6">
        <v>1109.77</v>
      </c>
      <c r="K466" s="3">
        <v>5878.94</v>
      </c>
    </row>
    <row r="467" spans="10:11" x14ac:dyDescent="0.3">
      <c r="J467" s="6">
        <v>1110.0899999999999</v>
      </c>
      <c r="K467" s="3">
        <v>1803.3</v>
      </c>
    </row>
    <row r="468" spans="10:11" x14ac:dyDescent="0.3">
      <c r="J468" s="6">
        <v>1110.44</v>
      </c>
      <c r="K468" s="3">
        <v>6245.14</v>
      </c>
    </row>
    <row r="469" spans="10:11" x14ac:dyDescent="0.3">
      <c r="J469" s="6">
        <v>1110.71</v>
      </c>
      <c r="K469" s="3">
        <v>5606.69</v>
      </c>
    </row>
    <row r="470" spans="10:11" x14ac:dyDescent="0.3">
      <c r="J470" s="6">
        <v>1111.23</v>
      </c>
      <c r="K470" s="3">
        <v>5358.47</v>
      </c>
    </row>
    <row r="471" spans="10:11" x14ac:dyDescent="0.3">
      <c r="J471" s="6">
        <v>1114.55</v>
      </c>
      <c r="K471" s="3">
        <v>2888.07</v>
      </c>
    </row>
    <row r="472" spans="10:11" x14ac:dyDescent="0.3">
      <c r="J472" s="6">
        <v>1117.4000000000001</v>
      </c>
      <c r="K472" s="3">
        <v>5748.28</v>
      </c>
    </row>
    <row r="473" spans="10:11" x14ac:dyDescent="0.3">
      <c r="J473" s="6">
        <v>1117.9000000000001</v>
      </c>
      <c r="K473" s="3">
        <v>2240.64</v>
      </c>
    </row>
    <row r="474" spans="10:11" x14ac:dyDescent="0.3">
      <c r="J474" s="6">
        <v>1117.94</v>
      </c>
      <c r="K474" s="3">
        <v>3636.53</v>
      </c>
    </row>
    <row r="475" spans="10:11" x14ac:dyDescent="0.3">
      <c r="J475" s="6">
        <v>1118.02</v>
      </c>
      <c r="K475" s="3">
        <v>3933.37</v>
      </c>
    </row>
    <row r="476" spans="10:11" x14ac:dyDescent="0.3">
      <c r="J476" s="6">
        <v>1125.68</v>
      </c>
      <c r="K476" s="3">
        <v>3219.56</v>
      </c>
    </row>
    <row r="477" spans="10:11" x14ac:dyDescent="0.3">
      <c r="J477" s="6">
        <v>1128.57</v>
      </c>
      <c r="K477" s="3">
        <v>1869.09</v>
      </c>
    </row>
    <row r="478" spans="10:11" x14ac:dyDescent="0.3">
      <c r="J478" s="6">
        <v>1130.68</v>
      </c>
      <c r="K478" s="3">
        <v>1480.24</v>
      </c>
    </row>
    <row r="479" spans="10:11" x14ac:dyDescent="0.3">
      <c r="J479" s="6">
        <v>1131.4000000000001</v>
      </c>
      <c r="K479" s="3">
        <v>3393.58</v>
      </c>
    </row>
    <row r="480" spans="10:11" x14ac:dyDescent="0.3">
      <c r="J480" s="6">
        <v>1132.3699999999999</v>
      </c>
      <c r="K480" s="3">
        <v>4403.76</v>
      </c>
    </row>
    <row r="481" spans="10:11" x14ac:dyDescent="0.3">
      <c r="J481" s="6">
        <v>1142.96</v>
      </c>
      <c r="K481" s="3">
        <v>2900.07</v>
      </c>
    </row>
    <row r="482" spans="10:11" x14ac:dyDescent="0.3">
      <c r="J482" s="6">
        <v>1147.8</v>
      </c>
      <c r="K482" s="3">
        <v>2446.92</v>
      </c>
    </row>
    <row r="483" spans="10:11" x14ac:dyDescent="0.3">
      <c r="J483" s="6">
        <v>1148.21</v>
      </c>
      <c r="K483" s="3">
        <v>4909.17</v>
      </c>
    </row>
    <row r="484" spans="10:11" x14ac:dyDescent="0.3">
      <c r="J484" s="6">
        <v>1148.25</v>
      </c>
      <c r="K484" s="3">
        <v>3392.47</v>
      </c>
    </row>
    <row r="485" spans="10:11" x14ac:dyDescent="0.3">
      <c r="J485" s="6">
        <v>1154.6099999999999</v>
      </c>
      <c r="K485" s="3">
        <v>4259.1499999999996</v>
      </c>
    </row>
    <row r="486" spans="10:11" x14ac:dyDescent="0.3">
      <c r="J486" s="6">
        <v>1154.7</v>
      </c>
      <c r="K486" s="3">
        <v>5546.66</v>
      </c>
    </row>
    <row r="487" spans="10:11" x14ac:dyDescent="0.3">
      <c r="J487" s="6">
        <v>1158.3</v>
      </c>
      <c r="K487" s="3">
        <v>1895.92</v>
      </c>
    </row>
    <row r="488" spans="10:11" x14ac:dyDescent="0.3">
      <c r="J488" s="6">
        <v>1159.3</v>
      </c>
      <c r="K488" s="3">
        <v>2603.9499999999998</v>
      </c>
    </row>
    <row r="489" spans="10:11" x14ac:dyDescent="0.3">
      <c r="J489" s="6">
        <v>1160.58</v>
      </c>
      <c r="K489" s="3">
        <v>4443.79</v>
      </c>
    </row>
    <row r="490" spans="10:11" x14ac:dyDescent="0.3">
      <c r="J490" s="6">
        <v>1161.76</v>
      </c>
      <c r="K490" s="3">
        <v>5783.85</v>
      </c>
    </row>
    <row r="491" spans="10:11" x14ac:dyDescent="0.3">
      <c r="J491" s="6">
        <v>1164.29</v>
      </c>
      <c r="K491" s="3">
        <v>4279.6899999999996</v>
      </c>
    </row>
    <row r="492" spans="10:11" x14ac:dyDescent="0.3">
      <c r="J492" s="6">
        <v>1164.57</v>
      </c>
      <c r="K492" s="3">
        <v>5716.49</v>
      </c>
    </row>
    <row r="493" spans="10:11" x14ac:dyDescent="0.3">
      <c r="J493" s="6">
        <v>1164.69</v>
      </c>
      <c r="K493" s="3">
        <v>2945.41</v>
      </c>
    </row>
    <row r="494" spans="10:11" x14ac:dyDescent="0.3">
      <c r="J494" s="6">
        <v>1177.7</v>
      </c>
      <c r="K494" s="3">
        <v>4828.49</v>
      </c>
    </row>
    <row r="495" spans="10:11" x14ac:dyDescent="0.3">
      <c r="J495" s="6">
        <v>1183.01</v>
      </c>
      <c r="K495" s="3">
        <v>1157.7</v>
      </c>
    </row>
    <row r="496" spans="10:11" x14ac:dyDescent="0.3">
      <c r="J496" s="6">
        <v>1184.3900000000001</v>
      </c>
      <c r="K496" s="3">
        <v>4105.66</v>
      </c>
    </row>
    <row r="497" spans="4:11" x14ac:dyDescent="0.3">
      <c r="J497" s="6">
        <v>1185.28</v>
      </c>
      <c r="K497" s="3">
        <v>4282.28</v>
      </c>
    </row>
    <row r="498" spans="4:11" x14ac:dyDescent="0.3">
      <c r="J498" s="6">
        <v>1187.23</v>
      </c>
      <c r="K498" s="3">
        <v>1946.48</v>
      </c>
    </row>
    <row r="499" spans="4:11" x14ac:dyDescent="0.3">
      <c r="J499" s="6">
        <v>1188.1500000000001</v>
      </c>
      <c r="K499" s="3">
        <v>1048.3800000000001</v>
      </c>
    </row>
    <row r="500" spans="4:11" x14ac:dyDescent="0.3">
      <c r="J500" s="6">
        <v>1196.97</v>
      </c>
      <c r="K500" s="3">
        <v>1548.41</v>
      </c>
    </row>
    <row r="501" spans="4:11" x14ac:dyDescent="0.3">
      <c r="J501" s="6">
        <v>1197.33</v>
      </c>
      <c r="K501" s="3">
        <v>6386.94</v>
      </c>
    </row>
    <row r="502" spans="4:11" x14ac:dyDescent="0.3">
      <c r="J502" s="6">
        <v>1198.45</v>
      </c>
      <c r="K502" s="3">
        <v>6614.41</v>
      </c>
    </row>
    <row r="503" spans="4:11" x14ac:dyDescent="0.3">
      <c r="J503" s="6" t="s">
        <v>570</v>
      </c>
      <c r="K503" s="3">
        <v>3994.7077999999983</v>
      </c>
    </row>
    <row r="506" spans="4:11" x14ac:dyDescent="0.3">
      <c r="D506" s="6">
        <v>201.46</v>
      </c>
      <c r="E506" s="3">
        <v>4249.2700000000004</v>
      </c>
    </row>
    <row r="507" spans="4:11" x14ac:dyDescent="0.3">
      <c r="D507" s="6">
        <v>202.16</v>
      </c>
      <c r="E507" s="3">
        <v>6187.9</v>
      </c>
    </row>
    <row r="508" spans="4:11" x14ac:dyDescent="0.3">
      <c r="D508" s="6">
        <v>202.74</v>
      </c>
      <c r="E508" s="3">
        <v>6462.14</v>
      </c>
    </row>
    <row r="509" spans="4:11" x14ac:dyDescent="0.3">
      <c r="D509" s="6">
        <v>208.18</v>
      </c>
      <c r="E509" s="3">
        <v>6057.1</v>
      </c>
    </row>
    <row r="510" spans="4:11" x14ac:dyDescent="0.3">
      <c r="D510" s="6">
        <v>210.56</v>
      </c>
      <c r="E510" s="3">
        <v>3194.7</v>
      </c>
    </row>
    <row r="511" spans="4:11" x14ac:dyDescent="0.3">
      <c r="D511" s="6">
        <v>210.58</v>
      </c>
      <c r="E511" s="3">
        <v>5141.67</v>
      </c>
    </row>
    <row r="512" spans="4:11" x14ac:dyDescent="0.3">
      <c r="D512" s="6">
        <v>211.15</v>
      </c>
      <c r="E512" s="3">
        <v>1864.45</v>
      </c>
    </row>
    <row r="513" spans="4:5" x14ac:dyDescent="0.3">
      <c r="D513" s="6">
        <v>212.27</v>
      </c>
      <c r="E513" s="3">
        <v>1757.68</v>
      </c>
    </row>
    <row r="514" spans="4:5" x14ac:dyDescent="0.3">
      <c r="D514" s="6">
        <v>214.08</v>
      </c>
      <c r="E514" s="3">
        <v>3753.49</v>
      </c>
    </row>
    <row r="515" spans="4:5" x14ac:dyDescent="0.3">
      <c r="D515" s="6">
        <v>215.33</v>
      </c>
      <c r="E515" s="3">
        <v>6442.2</v>
      </c>
    </row>
    <row r="516" spans="4:5" x14ac:dyDescent="0.3">
      <c r="D516" s="6">
        <v>215.73</v>
      </c>
      <c r="E516" s="3">
        <v>5000.53</v>
      </c>
    </row>
    <row r="517" spans="4:5" x14ac:dyDescent="0.3">
      <c r="D517" s="6">
        <v>219.08</v>
      </c>
      <c r="E517" s="3">
        <v>4977.8900000000003</v>
      </c>
    </row>
    <row r="518" spans="4:5" x14ac:dyDescent="0.3">
      <c r="D518" s="6">
        <v>219.74</v>
      </c>
      <c r="E518" s="3">
        <v>6968.08</v>
      </c>
    </row>
    <row r="519" spans="4:5" x14ac:dyDescent="0.3">
      <c r="D519" s="6">
        <v>220.86</v>
      </c>
      <c r="E519" s="3">
        <v>4840.8500000000004</v>
      </c>
    </row>
    <row r="520" spans="4:5" x14ac:dyDescent="0.3">
      <c r="D520" s="6">
        <v>221.91</v>
      </c>
      <c r="E520" s="3">
        <v>5363.01</v>
      </c>
    </row>
    <row r="521" spans="4:5" x14ac:dyDescent="0.3">
      <c r="D521" s="6">
        <v>223.7</v>
      </c>
      <c r="E521" s="3">
        <v>5351.5</v>
      </c>
    </row>
    <row r="522" spans="4:5" x14ac:dyDescent="0.3">
      <c r="D522" s="6">
        <v>228.21</v>
      </c>
      <c r="E522" s="3">
        <v>5428.63</v>
      </c>
    </row>
    <row r="523" spans="4:5" x14ac:dyDescent="0.3">
      <c r="D523" s="6">
        <v>231.27</v>
      </c>
      <c r="E523" s="3">
        <v>1400.08</v>
      </c>
    </row>
    <row r="524" spans="4:5" x14ac:dyDescent="0.3">
      <c r="D524" s="6">
        <v>239.25</v>
      </c>
      <c r="E524" s="3">
        <v>2474.33</v>
      </c>
    </row>
    <row r="525" spans="4:5" x14ac:dyDescent="0.3">
      <c r="D525" s="6">
        <v>243.14</v>
      </c>
      <c r="E525" s="3">
        <v>4544.75</v>
      </c>
    </row>
    <row r="526" spans="4:5" x14ac:dyDescent="0.3">
      <c r="D526" s="6">
        <v>244.22</v>
      </c>
      <c r="E526" s="3">
        <v>6482.53</v>
      </c>
    </row>
    <row r="527" spans="4:5" x14ac:dyDescent="0.3">
      <c r="D527" s="6">
        <v>245.29</v>
      </c>
      <c r="E527" s="3">
        <v>1018.09</v>
      </c>
    </row>
    <row r="528" spans="4:5" x14ac:dyDescent="0.3">
      <c r="D528" s="6">
        <v>245.82</v>
      </c>
      <c r="E528" s="3">
        <v>6170.24</v>
      </c>
    </row>
    <row r="529" spans="4:5" x14ac:dyDescent="0.3">
      <c r="D529" s="6">
        <v>250.35</v>
      </c>
      <c r="E529" s="3">
        <v>2923.8</v>
      </c>
    </row>
    <row r="530" spans="4:5" x14ac:dyDescent="0.3">
      <c r="D530" s="6">
        <v>252.46</v>
      </c>
      <c r="E530" s="3">
        <v>5550.45</v>
      </c>
    </row>
    <row r="531" spans="4:5" x14ac:dyDescent="0.3">
      <c r="D531" s="6">
        <v>253.8</v>
      </c>
      <c r="E531" s="3">
        <v>5728.67</v>
      </c>
    </row>
    <row r="532" spans="4:5" x14ac:dyDescent="0.3">
      <c r="D532" s="6">
        <v>254.54</v>
      </c>
      <c r="E532" s="3">
        <v>1935.95</v>
      </c>
    </row>
    <row r="533" spans="4:5" x14ac:dyDescent="0.3">
      <c r="D533" s="6">
        <v>258.01</v>
      </c>
      <c r="E533" s="3">
        <v>4786.2</v>
      </c>
    </row>
    <row r="534" spans="4:5" x14ac:dyDescent="0.3">
      <c r="D534" s="6">
        <v>258.48</v>
      </c>
      <c r="E534" s="3">
        <v>1928.78</v>
      </c>
    </row>
    <row r="535" spans="4:5" x14ac:dyDescent="0.3">
      <c r="D535" s="6">
        <v>259.16000000000003</v>
      </c>
      <c r="E535" s="3">
        <v>6783.48</v>
      </c>
    </row>
    <row r="536" spans="4:5" x14ac:dyDescent="0.3">
      <c r="D536" s="6">
        <v>260.11</v>
      </c>
      <c r="E536" s="3">
        <v>1110.33</v>
      </c>
    </row>
    <row r="537" spans="4:5" x14ac:dyDescent="0.3">
      <c r="D537" s="6">
        <v>262.99</v>
      </c>
      <c r="E537" s="3">
        <v>2158.56</v>
      </c>
    </row>
    <row r="538" spans="4:5" x14ac:dyDescent="0.3">
      <c r="D538" s="6">
        <v>267.52999999999997</v>
      </c>
      <c r="E538" s="3">
        <v>5576.36</v>
      </c>
    </row>
    <row r="539" spans="4:5" x14ac:dyDescent="0.3">
      <c r="D539" s="6">
        <v>267.56</v>
      </c>
      <c r="E539" s="3">
        <v>3239.81</v>
      </c>
    </row>
    <row r="540" spans="4:5" x14ac:dyDescent="0.3">
      <c r="D540" s="6">
        <v>267.83999999999997</v>
      </c>
      <c r="E540" s="3">
        <v>2207.12</v>
      </c>
    </row>
    <row r="541" spans="4:5" x14ac:dyDescent="0.3">
      <c r="D541" s="6">
        <v>268.52</v>
      </c>
      <c r="E541" s="3">
        <v>6764.67</v>
      </c>
    </row>
    <row r="542" spans="4:5" x14ac:dyDescent="0.3">
      <c r="D542" s="6">
        <v>270.92</v>
      </c>
      <c r="E542" s="3">
        <v>5780.55</v>
      </c>
    </row>
    <row r="543" spans="4:5" x14ac:dyDescent="0.3">
      <c r="D543" s="6">
        <v>273.52999999999997</v>
      </c>
      <c r="E543" s="3">
        <v>4370.8999999999996</v>
      </c>
    </row>
    <row r="544" spans="4:5" x14ac:dyDescent="0.3">
      <c r="D544" s="6">
        <v>274.69</v>
      </c>
      <c r="E544" s="3">
        <v>2957.51</v>
      </c>
    </row>
    <row r="545" spans="4:5" x14ac:dyDescent="0.3">
      <c r="D545" s="6">
        <v>274.99</v>
      </c>
      <c r="E545" s="3">
        <v>4868.1099999999997</v>
      </c>
    </row>
    <row r="546" spans="4:5" x14ac:dyDescent="0.3">
      <c r="D546" s="6">
        <v>277.89</v>
      </c>
      <c r="E546" s="3">
        <v>2489.58</v>
      </c>
    </row>
    <row r="547" spans="4:5" x14ac:dyDescent="0.3">
      <c r="D547" s="6">
        <v>287.7</v>
      </c>
      <c r="E547" s="3">
        <v>6028.09</v>
      </c>
    </row>
    <row r="548" spans="4:5" x14ac:dyDescent="0.3">
      <c r="D548" s="6">
        <v>291.2</v>
      </c>
      <c r="E548" s="3">
        <v>4753.63</v>
      </c>
    </row>
    <row r="549" spans="4:5" x14ac:dyDescent="0.3">
      <c r="D549" s="6">
        <v>293.02999999999997</v>
      </c>
      <c r="E549" s="3">
        <v>6835.36</v>
      </c>
    </row>
    <row r="550" spans="4:5" x14ac:dyDescent="0.3">
      <c r="D550" s="6">
        <v>299.35000000000002</v>
      </c>
      <c r="E550" s="3">
        <v>3660.3</v>
      </c>
    </row>
    <row r="551" spans="4:5" x14ac:dyDescent="0.3">
      <c r="D551" s="6">
        <v>304.11</v>
      </c>
      <c r="E551" s="3">
        <v>2909.3</v>
      </c>
    </row>
    <row r="552" spans="4:5" x14ac:dyDescent="0.3">
      <c r="D552" s="6">
        <v>306.18</v>
      </c>
      <c r="E552" s="3">
        <v>1784.6</v>
      </c>
    </row>
    <row r="553" spans="4:5" x14ac:dyDescent="0.3">
      <c r="D553" s="6">
        <v>306.25</v>
      </c>
      <c r="E553" s="3">
        <v>5612.24</v>
      </c>
    </row>
    <row r="554" spans="4:5" x14ac:dyDescent="0.3">
      <c r="D554" s="6">
        <v>306.33</v>
      </c>
      <c r="E554" s="3">
        <v>2024.14</v>
      </c>
    </row>
    <row r="555" spans="4:5" x14ac:dyDescent="0.3">
      <c r="D555" s="6">
        <v>308.22000000000003</v>
      </c>
      <c r="E555" s="3">
        <v>1928.38</v>
      </c>
    </row>
    <row r="556" spans="4:5" x14ac:dyDescent="0.3">
      <c r="D556" s="6">
        <v>308.57</v>
      </c>
      <c r="E556" s="3">
        <v>1413.06</v>
      </c>
    </row>
    <row r="557" spans="4:5" x14ac:dyDescent="0.3">
      <c r="D557" s="6">
        <v>314.02</v>
      </c>
      <c r="E557" s="3">
        <v>4599.71</v>
      </c>
    </row>
    <row r="558" spans="4:5" x14ac:dyDescent="0.3">
      <c r="D558" s="6">
        <v>315.33999999999997</v>
      </c>
      <c r="E558" s="3">
        <v>3398.07</v>
      </c>
    </row>
    <row r="559" spans="4:5" x14ac:dyDescent="0.3">
      <c r="D559" s="6">
        <v>316.68</v>
      </c>
      <c r="E559" s="3">
        <v>6456.33</v>
      </c>
    </row>
    <row r="560" spans="4:5" x14ac:dyDescent="0.3">
      <c r="D560" s="6">
        <v>316.83999999999997</v>
      </c>
      <c r="E560" s="3">
        <v>1995.82</v>
      </c>
    </row>
    <row r="561" spans="4:5" x14ac:dyDescent="0.3">
      <c r="D561" s="6">
        <v>318.06</v>
      </c>
      <c r="E561" s="3">
        <v>1761.58</v>
      </c>
    </row>
    <row r="562" spans="4:5" x14ac:dyDescent="0.3">
      <c r="D562" s="6">
        <v>318.70999999999998</v>
      </c>
      <c r="E562" s="3">
        <v>3688.59</v>
      </c>
    </row>
    <row r="563" spans="4:5" x14ac:dyDescent="0.3">
      <c r="D563" s="6">
        <v>320.37</v>
      </c>
      <c r="E563" s="3">
        <v>5118.03</v>
      </c>
    </row>
    <row r="564" spans="4:5" x14ac:dyDescent="0.3">
      <c r="D564" s="6">
        <v>321.36</v>
      </c>
      <c r="E564" s="3">
        <v>1301.31</v>
      </c>
    </row>
    <row r="565" spans="4:5" x14ac:dyDescent="0.3">
      <c r="D565" s="6">
        <v>323.54000000000002</v>
      </c>
      <c r="E565" s="3">
        <v>5268.82</v>
      </c>
    </row>
    <row r="566" spans="4:5" x14ac:dyDescent="0.3">
      <c r="D566" s="6">
        <v>323.87</v>
      </c>
      <c r="E566" s="3">
        <v>5941.04</v>
      </c>
    </row>
    <row r="567" spans="4:5" x14ac:dyDescent="0.3">
      <c r="D567" s="6">
        <v>326.19</v>
      </c>
      <c r="E567" s="3">
        <v>6906.21</v>
      </c>
    </row>
    <row r="568" spans="4:5" x14ac:dyDescent="0.3">
      <c r="D568" s="6">
        <v>330.38</v>
      </c>
      <c r="E568" s="3">
        <v>1510.47</v>
      </c>
    </row>
    <row r="569" spans="4:5" x14ac:dyDescent="0.3">
      <c r="D569" s="6">
        <v>330.82</v>
      </c>
      <c r="E569" s="3">
        <v>2660.08</v>
      </c>
    </row>
    <row r="570" spans="4:5" x14ac:dyDescent="0.3">
      <c r="D570" s="6">
        <v>335.73</v>
      </c>
      <c r="E570" s="3">
        <v>2713.46</v>
      </c>
    </row>
    <row r="571" spans="4:5" x14ac:dyDescent="0.3">
      <c r="D571" s="6">
        <v>337.51</v>
      </c>
      <c r="E571" s="3">
        <v>2103.86</v>
      </c>
    </row>
    <row r="572" spans="4:5" x14ac:dyDescent="0.3">
      <c r="D572" s="6">
        <v>338.58</v>
      </c>
      <c r="E572" s="3">
        <v>2975.71</v>
      </c>
    </row>
    <row r="573" spans="4:5" x14ac:dyDescent="0.3">
      <c r="D573" s="6">
        <v>339.83</v>
      </c>
      <c r="E573" s="3">
        <v>3109.21</v>
      </c>
    </row>
    <row r="574" spans="4:5" x14ac:dyDescent="0.3">
      <c r="D574" s="6">
        <v>340.61</v>
      </c>
      <c r="E574" s="3">
        <v>1520.43</v>
      </c>
    </row>
    <row r="575" spans="4:5" x14ac:dyDescent="0.3">
      <c r="D575" s="6">
        <v>342.78</v>
      </c>
      <c r="E575" s="3">
        <v>3437.26</v>
      </c>
    </row>
    <row r="576" spans="4:5" x14ac:dyDescent="0.3">
      <c r="D576" s="6">
        <v>343.72</v>
      </c>
      <c r="E576" s="3">
        <v>3792.38</v>
      </c>
    </row>
    <row r="577" spans="4:5" x14ac:dyDescent="0.3">
      <c r="D577" s="6">
        <v>347.71</v>
      </c>
      <c r="E577" s="3">
        <v>6512.68</v>
      </c>
    </row>
    <row r="578" spans="4:5" x14ac:dyDescent="0.3">
      <c r="D578" s="6">
        <v>348.2</v>
      </c>
      <c r="E578" s="3">
        <v>5690.11</v>
      </c>
    </row>
    <row r="579" spans="4:5" x14ac:dyDescent="0.3">
      <c r="D579" s="6">
        <v>348.94</v>
      </c>
      <c r="E579" s="3">
        <v>5281.55</v>
      </c>
    </row>
    <row r="580" spans="4:5" x14ac:dyDescent="0.3">
      <c r="D580" s="6">
        <v>349.85</v>
      </c>
      <c r="E580" s="3">
        <v>1673.25</v>
      </c>
    </row>
    <row r="581" spans="4:5" x14ac:dyDescent="0.3">
      <c r="D581" s="6">
        <v>351.37</v>
      </c>
      <c r="E581" s="3">
        <v>3640.6</v>
      </c>
    </row>
    <row r="582" spans="4:5" x14ac:dyDescent="0.3">
      <c r="D582" s="6">
        <v>357.5</v>
      </c>
      <c r="E582" s="3">
        <v>3019.37</v>
      </c>
    </row>
    <row r="583" spans="4:5" x14ac:dyDescent="0.3">
      <c r="D583" s="6">
        <v>359.76</v>
      </c>
      <c r="E583" s="3">
        <v>6811.44</v>
      </c>
    </row>
    <row r="584" spans="4:5" x14ac:dyDescent="0.3">
      <c r="D584" s="6">
        <v>360.94</v>
      </c>
      <c r="E584" s="3">
        <v>1339.63</v>
      </c>
    </row>
    <row r="585" spans="4:5" x14ac:dyDescent="0.3">
      <c r="D585" s="6">
        <v>369.26</v>
      </c>
      <c r="E585" s="3">
        <v>2924.43</v>
      </c>
    </row>
    <row r="586" spans="4:5" x14ac:dyDescent="0.3">
      <c r="D586" s="6">
        <v>369.58</v>
      </c>
      <c r="E586" s="3">
        <v>4357.22</v>
      </c>
    </row>
    <row r="587" spans="4:5" x14ac:dyDescent="0.3">
      <c r="D587" s="6">
        <v>370.88</v>
      </c>
      <c r="E587" s="3">
        <v>1959.4</v>
      </c>
    </row>
    <row r="588" spans="4:5" x14ac:dyDescent="0.3">
      <c r="D588" s="6">
        <v>379.89</v>
      </c>
      <c r="E588" s="3">
        <v>3233.86</v>
      </c>
    </row>
    <row r="589" spans="4:5" x14ac:dyDescent="0.3">
      <c r="D589" s="6">
        <v>380.7</v>
      </c>
      <c r="E589" s="3">
        <v>2857.11</v>
      </c>
    </row>
    <row r="590" spans="4:5" x14ac:dyDescent="0.3">
      <c r="D590" s="6">
        <v>386.05</v>
      </c>
      <c r="E590" s="3">
        <v>2672.14</v>
      </c>
    </row>
    <row r="591" spans="4:5" x14ac:dyDescent="0.3">
      <c r="D591" s="6">
        <v>386.63</v>
      </c>
      <c r="E591" s="3">
        <v>4354.1499999999996</v>
      </c>
    </row>
    <row r="592" spans="4:5" x14ac:dyDescent="0.3">
      <c r="D592" s="6">
        <v>388.23</v>
      </c>
      <c r="E592" s="3">
        <v>4270.71</v>
      </c>
    </row>
    <row r="593" spans="4:5" x14ac:dyDescent="0.3">
      <c r="D593" s="6">
        <v>391.84</v>
      </c>
      <c r="E593" s="3">
        <v>3414.4</v>
      </c>
    </row>
    <row r="594" spans="4:5" x14ac:dyDescent="0.3">
      <c r="D594" s="6">
        <v>394.02</v>
      </c>
      <c r="E594" s="3">
        <v>4695.96</v>
      </c>
    </row>
    <row r="595" spans="4:5" x14ac:dyDescent="0.3">
      <c r="D595" s="6">
        <v>395.13</v>
      </c>
      <c r="E595" s="3">
        <v>3154.24</v>
      </c>
    </row>
    <row r="596" spans="4:5" x14ac:dyDescent="0.3">
      <c r="D596" s="6">
        <v>396.43</v>
      </c>
      <c r="E596" s="3">
        <v>6050.76</v>
      </c>
    </row>
    <row r="597" spans="4:5" x14ac:dyDescent="0.3">
      <c r="D597" s="6">
        <v>400.3</v>
      </c>
      <c r="E597" s="3">
        <v>3478.64</v>
      </c>
    </row>
    <row r="598" spans="4:5" x14ac:dyDescent="0.3">
      <c r="D598" s="6">
        <v>402.21</v>
      </c>
      <c r="E598" s="3">
        <v>5318.93</v>
      </c>
    </row>
    <row r="599" spans="4:5" x14ac:dyDescent="0.3">
      <c r="D599" s="6">
        <v>404.26</v>
      </c>
      <c r="E599" s="3">
        <v>1491.9</v>
      </c>
    </row>
    <row r="600" spans="4:5" x14ac:dyDescent="0.3">
      <c r="D600" s="6">
        <v>405.58</v>
      </c>
      <c r="E600" s="3">
        <v>2279.0500000000002</v>
      </c>
    </row>
    <row r="601" spans="4:5" x14ac:dyDescent="0.3">
      <c r="D601" s="6">
        <v>406.78</v>
      </c>
      <c r="E601" s="3">
        <v>2198</v>
      </c>
    </row>
    <row r="602" spans="4:5" x14ac:dyDescent="0.3">
      <c r="D602" s="6">
        <v>407.16</v>
      </c>
      <c r="E602" s="3">
        <v>6572.6</v>
      </c>
    </row>
    <row r="603" spans="4:5" x14ac:dyDescent="0.3">
      <c r="D603" s="6">
        <v>407.33</v>
      </c>
      <c r="E603" s="3">
        <v>3789.31</v>
      </c>
    </row>
    <row r="604" spans="4:5" x14ac:dyDescent="0.3">
      <c r="D604" s="6">
        <v>407.64</v>
      </c>
      <c r="E604" s="3">
        <v>1724.42</v>
      </c>
    </row>
    <row r="605" spans="4:5" x14ac:dyDescent="0.3">
      <c r="D605" s="6">
        <v>411.68</v>
      </c>
      <c r="E605" s="3">
        <v>5726.67</v>
      </c>
    </row>
    <row r="606" spans="4:5" x14ac:dyDescent="0.3">
      <c r="D606" s="6">
        <v>411.88</v>
      </c>
      <c r="E606" s="3">
        <v>1136.49</v>
      </c>
    </row>
    <row r="607" spans="4:5" x14ac:dyDescent="0.3">
      <c r="D607" s="6">
        <v>417.96</v>
      </c>
      <c r="E607" s="3">
        <v>3841.37</v>
      </c>
    </row>
    <row r="608" spans="4:5" x14ac:dyDescent="0.3">
      <c r="D608" s="6">
        <v>420.59</v>
      </c>
      <c r="E608" s="3">
        <v>1979.62</v>
      </c>
    </row>
    <row r="609" spans="4:5" x14ac:dyDescent="0.3">
      <c r="D609" s="6">
        <v>420.72</v>
      </c>
      <c r="E609" s="3">
        <v>5207.88</v>
      </c>
    </row>
    <row r="610" spans="4:5" x14ac:dyDescent="0.3">
      <c r="D610" s="6">
        <v>421.2</v>
      </c>
      <c r="E610" s="3">
        <v>1956.22</v>
      </c>
    </row>
    <row r="611" spans="4:5" x14ac:dyDescent="0.3">
      <c r="D611" s="6">
        <v>424.64</v>
      </c>
      <c r="E611" s="3">
        <v>3011.13</v>
      </c>
    </row>
    <row r="612" spans="4:5" x14ac:dyDescent="0.3">
      <c r="D612" s="6">
        <v>427.96</v>
      </c>
      <c r="E612" s="3">
        <v>3949.72</v>
      </c>
    </row>
    <row r="613" spans="4:5" x14ac:dyDescent="0.3">
      <c r="D613" s="6">
        <v>429.93</v>
      </c>
      <c r="E613" s="3">
        <v>4801.97</v>
      </c>
    </row>
    <row r="614" spans="4:5" x14ac:dyDescent="0.3">
      <c r="D614" s="6">
        <v>430.91</v>
      </c>
      <c r="E614" s="3">
        <v>4402.26</v>
      </c>
    </row>
    <row r="615" spans="4:5" x14ac:dyDescent="0.3">
      <c r="D615" s="6">
        <v>431.02</v>
      </c>
      <c r="E615" s="3">
        <v>6763.52</v>
      </c>
    </row>
    <row r="616" spans="4:5" x14ac:dyDescent="0.3">
      <c r="D616" s="6">
        <v>433.82</v>
      </c>
      <c r="E616" s="3">
        <v>4831.3</v>
      </c>
    </row>
    <row r="617" spans="4:5" x14ac:dyDescent="0.3">
      <c r="D617" s="6">
        <v>436.2</v>
      </c>
      <c r="E617" s="3">
        <v>5476.4549999999999</v>
      </c>
    </row>
    <row r="618" spans="4:5" x14ac:dyDescent="0.3">
      <c r="D618" s="6">
        <v>438.57</v>
      </c>
      <c r="E618" s="3">
        <v>4541.01</v>
      </c>
    </row>
    <row r="619" spans="4:5" x14ac:dyDescent="0.3">
      <c r="D619" s="6">
        <v>439.17</v>
      </c>
      <c r="E619" s="3">
        <v>5514.35</v>
      </c>
    </row>
    <row r="620" spans="4:5" x14ac:dyDescent="0.3">
      <c r="D620" s="6">
        <v>440.87</v>
      </c>
      <c r="E620" s="3">
        <v>6272.33</v>
      </c>
    </row>
    <row r="621" spans="4:5" x14ac:dyDescent="0.3">
      <c r="D621" s="6">
        <v>443.09</v>
      </c>
      <c r="E621" s="3">
        <v>5766.34</v>
      </c>
    </row>
    <row r="622" spans="4:5" x14ac:dyDescent="0.3">
      <c r="D622" s="6">
        <v>447.51</v>
      </c>
      <c r="E622" s="3">
        <v>3544.77</v>
      </c>
    </row>
    <row r="623" spans="4:5" x14ac:dyDescent="0.3">
      <c r="D623" s="6">
        <v>450.61</v>
      </c>
      <c r="E623" s="3">
        <v>6684.9</v>
      </c>
    </row>
    <row r="624" spans="4:5" x14ac:dyDescent="0.3">
      <c r="D624" s="6">
        <v>455</v>
      </c>
      <c r="E624" s="3">
        <v>4343.72</v>
      </c>
    </row>
    <row r="625" spans="4:5" x14ac:dyDescent="0.3">
      <c r="D625" s="6">
        <v>460.16</v>
      </c>
      <c r="E625" s="3">
        <v>3571.68</v>
      </c>
    </row>
    <row r="626" spans="4:5" x14ac:dyDescent="0.3">
      <c r="D626" s="6">
        <v>462.85</v>
      </c>
      <c r="E626" s="3">
        <v>3169.61</v>
      </c>
    </row>
    <row r="627" spans="4:5" x14ac:dyDescent="0.3">
      <c r="D627" s="6">
        <v>464.65</v>
      </c>
      <c r="E627" s="3">
        <v>1595.4</v>
      </c>
    </row>
    <row r="628" spans="4:5" x14ac:dyDescent="0.3">
      <c r="D628" s="6">
        <v>464.66</v>
      </c>
      <c r="E628" s="3">
        <v>6975.75</v>
      </c>
    </row>
    <row r="629" spans="4:5" x14ac:dyDescent="0.3">
      <c r="D629" s="6">
        <v>464.99</v>
      </c>
      <c r="E629" s="3">
        <v>1226.42</v>
      </c>
    </row>
    <row r="630" spans="4:5" x14ac:dyDescent="0.3">
      <c r="D630" s="6">
        <v>465.21</v>
      </c>
      <c r="E630" s="3">
        <v>1532.36</v>
      </c>
    </row>
    <row r="631" spans="4:5" x14ac:dyDescent="0.3">
      <c r="D631" s="6">
        <v>466.26</v>
      </c>
      <c r="E631" s="3">
        <v>5414.01</v>
      </c>
    </row>
    <row r="632" spans="4:5" x14ac:dyDescent="0.3">
      <c r="D632" s="6">
        <v>467.89</v>
      </c>
      <c r="E632" s="3">
        <v>5595.52</v>
      </c>
    </row>
    <row r="633" spans="4:5" x14ac:dyDescent="0.3">
      <c r="D633" s="6">
        <v>469.25</v>
      </c>
      <c r="E633" s="3">
        <v>3988.94</v>
      </c>
    </row>
    <row r="634" spans="4:5" x14ac:dyDescent="0.3">
      <c r="D634" s="6">
        <v>473.27</v>
      </c>
      <c r="E634" s="3">
        <v>4340.4399999999996</v>
      </c>
    </row>
    <row r="635" spans="4:5" x14ac:dyDescent="0.3">
      <c r="D635" s="6">
        <v>473.42</v>
      </c>
      <c r="E635" s="3">
        <v>3990.25</v>
      </c>
    </row>
    <row r="636" spans="4:5" x14ac:dyDescent="0.3">
      <c r="D636" s="6">
        <v>476.38</v>
      </c>
      <c r="E636" s="3">
        <v>1454.29</v>
      </c>
    </row>
    <row r="637" spans="4:5" x14ac:dyDescent="0.3">
      <c r="D637" s="6">
        <v>479.17</v>
      </c>
      <c r="E637" s="3">
        <v>6973.99</v>
      </c>
    </row>
    <row r="638" spans="4:5" x14ac:dyDescent="0.3">
      <c r="D638" s="6">
        <v>480.97</v>
      </c>
      <c r="E638" s="3">
        <v>5702.58</v>
      </c>
    </row>
    <row r="639" spans="4:5" x14ac:dyDescent="0.3">
      <c r="D639" s="6">
        <v>482.21</v>
      </c>
      <c r="E639" s="3">
        <v>5924.52</v>
      </c>
    </row>
    <row r="640" spans="4:5" x14ac:dyDescent="0.3">
      <c r="D640" s="6">
        <v>484.61</v>
      </c>
      <c r="E640" s="3">
        <v>4894.79</v>
      </c>
    </row>
    <row r="641" spans="4:5" x14ac:dyDescent="0.3">
      <c r="D641" s="6">
        <v>485.73</v>
      </c>
      <c r="E641" s="3">
        <v>2435.48</v>
      </c>
    </row>
    <row r="642" spans="4:5" x14ac:dyDescent="0.3">
      <c r="D642" s="6">
        <v>488.1</v>
      </c>
      <c r="E642" s="3">
        <v>6009.78</v>
      </c>
    </row>
    <row r="643" spans="4:5" x14ac:dyDescent="0.3">
      <c r="D643" s="6">
        <v>489.45</v>
      </c>
      <c r="E643" s="3">
        <v>6671.94</v>
      </c>
    </row>
    <row r="644" spans="4:5" x14ac:dyDescent="0.3">
      <c r="D644" s="6">
        <v>489.78</v>
      </c>
      <c r="E644" s="3">
        <v>5517.04</v>
      </c>
    </row>
    <row r="645" spans="4:5" x14ac:dyDescent="0.3">
      <c r="D645" s="6">
        <v>491.45</v>
      </c>
      <c r="E645" s="3">
        <v>2885.1</v>
      </c>
    </row>
    <row r="646" spans="4:5" x14ac:dyDescent="0.3">
      <c r="D646" s="6">
        <v>498.87</v>
      </c>
      <c r="E646" s="3">
        <v>4326.8500000000004</v>
      </c>
    </row>
    <row r="647" spans="4:5" x14ac:dyDescent="0.3">
      <c r="D647" s="6">
        <v>499.79</v>
      </c>
      <c r="E647" s="3">
        <v>5969.74</v>
      </c>
    </row>
    <row r="648" spans="4:5" x14ac:dyDescent="0.3">
      <c r="D648" s="6">
        <v>501.87</v>
      </c>
      <c r="E648" s="3">
        <v>3566.8</v>
      </c>
    </row>
    <row r="649" spans="4:5" x14ac:dyDescent="0.3">
      <c r="D649" s="6">
        <v>502.32</v>
      </c>
      <c r="E649" s="3">
        <v>5976.74</v>
      </c>
    </row>
    <row r="650" spans="4:5" x14ac:dyDescent="0.3">
      <c r="D650" s="6">
        <v>503.35</v>
      </c>
      <c r="E650" s="3">
        <v>5592.61</v>
      </c>
    </row>
    <row r="651" spans="4:5" x14ac:dyDescent="0.3">
      <c r="D651" s="6">
        <v>510.08</v>
      </c>
      <c r="E651" s="3">
        <v>2196.8200000000002</v>
      </c>
    </row>
    <row r="652" spans="4:5" x14ac:dyDescent="0.3">
      <c r="D652" s="6">
        <v>510.75</v>
      </c>
      <c r="E652" s="3">
        <v>1173.22</v>
      </c>
    </row>
    <row r="653" spans="4:5" x14ac:dyDescent="0.3">
      <c r="D653" s="6">
        <v>511.38</v>
      </c>
      <c r="E653" s="3">
        <v>5824.02</v>
      </c>
    </row>
    <row r="654" spans="4:5" x14ac:dyDescent="0.3">
      <c r="D654" s="6">
        <v>514.52</v>
      </c>
      <c r="E654" s="3">
        <v>3402.71</v>
      </c>
    </row>
    <row r="655" spans="4:5" x14ac:dyDescent="0.3">
      <c r="D655" s="6">
        <v>517.03</v>
      </c>
      <c r="E655" s="3">
        <v>5614.99</v>
      </c>
    </row>
    <row r="656" spans="4:5" x14ac:dyDescent="0.3">
      <c r="D656" s="6">
        <v>519.32000000000005</v>
      </c>
      <c r="E656" s="3">
        <v>3294.92</v>
      </c>
    </row>
    <row r="657" spans="4:5" x14ac:dyDescent="0.3">
      <c r="D657" s="6">
        <v>522.1</v>
      </c>
      <c r="E657" s="3">
        <v>6196.47</v>
      </c>
    </row>
    <row r="658" spans="4:5" x14ac:dyDescent="0.3">
      <c r="D658" s="6">
        <v>523.46</v>
      </c>
      <c r="E658" s="3">
        <v>5176.68</v>
      </c>
    </row>
    <row r="659" spans="4:5" x14ac:dyDescent="0.3">
      <c r="D659" s="6">
        <v>525.01</v>
      </c>
      <c r="E659" s="3">
        <v>3273.94</v>
      </c>
    </row>
    <row r="660" spans="4:5" x14ac:dyDescent="0.3">
      <c r="D660" s="6">
        <v>526.38</v>
      </c>
      <c r="E660" s="3">
        <v>4683.1899999999996</v>
      </c>
    </row>
    <row r="661" spans="4:5" x14ac:dyDescent="0.3">
      <c r="D661" s="6">
        <v>531.49</v>
      </c>
      <c r="E661" s="3">
        <v>3410.32</v>
      </c>
    </row>
    <row r="662" spans="4:5" x14ac:dyDescent="0.3">
      <c r="D662" s="6">
        <v>531.91999999999996</v>
      </c>
      <c r="E662" s="3">
        <v>6172.83</v>
      </c>
    </row>
    <row r="663" spans="4:5" x14ac:dyDescent="0.3">
      <c r="D663" s="6">
        <v>533.51</v>
      </c>
      <c r="E663" s="3">
        <v>2272.63</v>
      </c>
    </row>
    <row r="664" spans="4:5" x14ac:dyDescent="0.3">
      <c r="D664" s="6">
        <v>538.72</v>
      </c>
      <c r="E664" s="3">
        <v>6665.13</v>
      </c>
    </row>
    <row r="665" spans="4:5" x14ac:dyDescent="0.3">
      <c r="D665" s="6">
        <v>539.09</v>
      </c>
      <c r="E665" s="3">
        <v>1580.09</v>
      </c>
    </row>
    <row r="666" spans="4:5" x14ac:dyDescent="0.3">
      <c r="D666" s="6">
        <v>543.07000000000005</v>
      </c>
      <c r="E666" s="3">
        <v>1515.13</v>
      </c>
    </row>
    <row r="667" spans="4:5" x14ac:dyDescent="0.3">
      <c r="D667" s="6">
        <v>543.08000000000004</v>
      </c>
      <c r="E667" s="3">
        <v>2801.58</v>
      </c>
    </row>
    <row r="668" spans="4:5" x14ac:dyDescent="0.3">
      <c r="D668" s="6">
        <v>546.01</v>
      </c>
      <c r="E668" s="3">
        <v>4368.01</v>
      </c>
    </row>
    <row r="669" spans="4:5" x14ac:dyDescent="0.3">
      <c r="D669" s="6">
        <v>549.96</v>
      </c>
      <c r="E669" s="3">
        <v>3821.84</v>
      </c>
    </row>
    <row r="670" spans="4:5" x14ac:dyDescent="0.3">
      <c r="D670" s="6">
        <v>553.91</v>
      </c>
      <c r="E670" s="3">
        <v>4074.65</v>
      </c>
    </row>
    <row r="671" spans="4:5" x14ac:dyDescent="0.3">
      <c r="D671" s="6">
        <v>559.54999999999995</v>
      </c>
      <c r="E671" s="3">
        <v>5337.3</v>
      </c>
    </row>
    <row r="672" spans="4:5" x14ac:dyDescent="0.3">
      <c r="D672" s="6">
        <v>560.88</v>
      </c>
      <c r="E672" s="3">
        <v>1603.16</v>
      </c>
    </row>
    <row r="673" spans="2:5" x14ac:dyDescent="0.3">
      <c r="D673" s="6">
        <v>561.12</v>
      </c>
      <c r="E673" s="3">
        <v>3526.61</v>
      </c>
    </row>
    <row r="674" spans="2:5" x14ac:dyDescent="0.3">
      <c r="D674" s="6">
        <v>562.19000000000005</v>
      </c>
      <c r="E674" s="3">
        <v>5933.99</v>
      </c>
    </row>
    <row r="675" spans="2:5" x14ac:dyDescent="0.3">
      <c r="D675" s="6">
        <v>564.49</v>
      </c>
      <c r="E675" s="3">
        <v>5160.75</v>
      </c>
    </row>
    <row r="676" spans="2:5" x14ac:dyDescent="0.3">
      <c r="B676" s="6"/>
      <c r="C676" s="3"/>
      <c r="D676" s="6">
        <v>570.70000000000005</v>
      </c>
      <c r="E676" s="3">
        <v>5334.48</v>
      </c>
    </row>
    <row r="677" spans="2:5" x14ac:dyDescent="0.3">
      <c r="B677" s="6"/>
      <c r="C677" s="3"/>
      <c r="D677" s="6">
        <v>575.03</v>
      </c>
      <c r="E677" s="3">
        <v>1042.68</v>
      </c>
    </row>
    <row r="678" spans="2:5" x14ac:dyDescent="0.3">
      <c r="B678" s="6"/>
      <c r="C678" s="3"/>
      <c r="D678" s="6">
        <v>576.48</v>
      </c>
      <c r="E678" s="3">
        <v>2832.76</v>
      </c>
    </row>
    <row r="679" spans="2:5" x14ac:dyDescent="0.3">
      <c r="B679" s="6"/>
      <c r="C679" s="3"/>
      <c r="D679" s="6">
        <v>578.52</v>
      </c>
      <c r="E679" s="3">
        <v>4266.1000000000004</v>
      </c>
    </row>
    <row r="680" spans="2:5" x14ac:dyDescent="0.3">
      <c r="B680" s="6"/>
      <c r="C680" s="3"/>
      <c r="D680" s="6">
        <v>579.84</v>
      </c>
      <c r="E680" s="3">
        <v>2771.15</v>
      </c>
    </row>
    <row r="681" spans="2:5" x14ac:dyDescent="0.3">
      <c r="B681" s="6"/>
      <c r="C681" s="3"/>
      <c r="D681" s="6">
        <v>579.89</v>
      </c>
      <c r="E681" s="3">
        <v>6692.94</v>
      </c>
    </row>
    <row r="682" spans="2:5" x14ac:dyDescent="0.3">
      <c r="B682" s="6"/>
      <c r="C682" s="3"/>
      <c r="D682" s="6">
        <v>580.38</v>
      </c>
      <c r="E682" s="3">
        <v>5744.44</v>
      </c>
    </row>
    <row r="683" spans="2:5" x14ac:dyDescent="0.3">
      <c r="B683" s="6"/>
      <c r="C683" s="3"/>
      <c r="D683" s="6">
        <v>580.66</v>
      </c>
      <c r="E683" s="3">
        <v>2435.9899999999998</v>
      </c>
    </row>
    <row r="684" spans="2:5" x14ac:dyDescent="0.3">
      <c r="B684" s="6"/>
      <c r="C684" s="3"/>
      <c r="D684" s="6">
        <v>582.21</v>
      </c>
      <c r="E684" s="3">
        <v>6383.05</v>
      </c>
    </row>
    <row r="685" spans="2:5" x14ac:dyDescent="0.3">
      <c r="B685" s="6"/>
      <c r="C685" s="3"/>
      <c r="D685" s="6">
        <v>583.98</v>
      </c>
      <c r="E685" s="3">
        <v>4778.59</v>
      </c>
    </row>
    <row r="686" spans="2:5" x14ac:dyDescent="0.3">
      <c r="B686" s="6"/>
      <c r="C686" s="3"/>
      <c r="D686" s="6">
        <v>584.66</v>
      </c>
      <c r="E686" s="3">
        <v>4636.96</v>
      </c>
    </row>
    <row r="687" spans="2:5" x14ac:dyDescent="0.3">
      <c r="B687" s="6"/>
      <c r="C687" s="3"/>
      <c r="D687" s="6">
        <v>589.99</v>
      </c>
      <c r="E687" s="3">
        <v>1035.3800000000001</v>
      </c>
    </row>
    <row r="688" spans="2:5" x14ac:dyDescent="0.3">
      <c r="B688" s="6"/>
      <c r="C688" s="3"/>
      <c r="D688" s="6">
        <v>591.13</v>
      </c>
      <c r="E688" s="3">
        <v>4112.79</v>
      </c>
    </row>
    <row r="689" spans="2:5" x14ac:dyDescent="0.3">
      <c r="B689" s="6"/>
      <c r="C689" s="3"/>
      <c r="D689" s="6">
        <v>593.05999999999995</v>
      </c>
      <c r="E689" s="3">
        <v>3086.62</v>
      </c>
    </row>
    <row r="690" spans="2:5" x14ac:dyDescent="0.3">
      <c r="B690" s="6"/>
      <c r="C690" s="3"/>
      <c r="D690" s="6">
        <v>593.24</v>
      </c>
      <c r="E690" s="3">
        <v>2851.24</v>
      </c>
    </row>
    <row r="691" spans="2:5" x14ac:dyDescent="0.3">
      <c r="B691" s="6"/>
      <c r="C691" s="3"/>
      <c r="D691" s="6">
        <v>594.15</v>
      </c>
      <c r="E691" s="3">
        <v>4647.58</v>
      </c>
    </row>
    <row r="692" spans="2:5" x14ac:dyDescent="0.3">
      <c r="B692" s="6"/>
      <c r="C692" s="3"/>
      <c r="D692" s="6">
        <v>594.57000000000005</v>
      </c>
      <c r="E692" s="3">
        <v>6803.62</v>
      </c>
    </row>
    <row r="693" spans="2:5" x14ac:dyDescent="0.3">
      <c r="B693" s="6"/>
      <c r="C693" s="3"/>
      <c r="D693" s="6">
        <v>595</v>
      </c>
      <c r="E693" s="3">
        <v>6544.79</v>
      </c>
    </row>
    <row r="694" spans="2:5" x14ac:dyDescent="0.3">
      <c r="B694" s="6"/>
      <c r="C694" s="3"/>
      <c r="D694" s="6">
        <v>596.99</v>
      </c>
      <c r="E694" s="3">
        <v>2054.73</v>
      </c>
    </row>
    <row r="695" spans="2:5" x14ac:dyDescent="0.3">
      <c r="B695" s="6"/>
      <c r="C695" s="3"/>
      <c r="D695" s="6">
        <v>597.47</v>
      </c>
      <c r="E695" s="3">
        <v>1491.62</v>
      </c>
    </row>
    <row r="696" spans="2:5" x14ac:dyDescent="0.3">
      <c r="B696" s="6"/>
      <c r="C696" s="3"/>
      <c r="D696" s="6">
        <v>600.78</v>
      </c>
      <c r="E696" s="3">
        <v>1557.71</v>
      </c>
    </row>
    <row r="697" spans="2:5" x14ac:dyDescent="0.3">
      <c r="B697" s="6"/>
      <c r="C697" s="3"/>
      <c r="D697" s="6">
        <v>603.91</v>
      </c>
      <c r="E697" s="3">
        <v>6639.47</v>
      </c>
    </row>
    <row r="698" spans="2:5" x14ac:dyDescent="0.3">
      <c r="B698" s="6"/>
      <c r="C698" s="3"/>
      <c r="D698" s="6">
        <v>606.42999999999995</v>
      </c>
      <c r="E698" s="3">
        <v>6688.38</v>
      </c>
    </row>
    <row r="699" spans="2:5" x14ac:dyDescent="0.3">
      <c r="B699" s="6"/>
      <c r="C699" s="3"/>
      <c r="D699" s="6">
        <v>610.80999999999995</v>
      </c>
      <c r="E699" s="3">
        <v>4518.79</v>
      </c>
    </row>
    <row r="700" spans="2:5" x14ac:dyDescent="0.3">
      <c r="B700" s="6"/>
      <c r="C700" s="3"/>
      <c r="D700" s="6">
        <v>611.71</v>
      </c>
      <c r="E700" s="3">
        <v>5419.39</v>
      </c>
    </row>
    <row r="701" spans="2:5" x14ac:dyDescent="0.3">
      <c r="B701" s="6"/>
      <c r="C701" s="3"/>
      <c r="D701" s="6">
        <v>614.47</v>
      </c>
      <c r="E701" s="3">
        <v>2143.4699999999998</v>
      </c>
    </row>
    <row r="702" spans="2:5" x14ac:dyDescent="0.3">
      <c r="B702" s="6"/>
      <c r="C702" s="3"/>
      <c r="D702" s="6">
        <v>615.5</v>
      </c>
      <c r="E702" s="3">
        <v>1540.8</v>
      </c>
    </row>
    <row r="703" spans="2:5" x14ac:dyDescent="0.3">
      <c r="B703" s="6"/>
      <c r="C703" s="3"/>
      <c r="D703" s="6">
        <v>615.62</v>
      </c>
      <c r="E703" s="3">
        <v>3721.26</v>
      </c>
    </row>
    <row r="704" spans="2:5" x14ac:dyDescent="0.3">
      <c r="B704" s="6"/>
      <c r="C704" s="3"/>
      <c r="D704" s="6">
        <v>616.59</v>
      </c>
      <c r="E704" s="3">
        <v>2587.94</v>
      </c>
    </row>
    <row r="705" spans="2:5" x14ac:dyDescent="0.3">
      <c r="B705" s="6"/>
      <c r="C705" s="3"/>
      <c r="D705" s="6">
        <v>618.57000000000005</v>
      </c>
      <c r="E705" s="3">
        <v>4932.3999999999996</v>
      </c>
    </row>
    <row r="706" spans="2:5" x14ac:dyDescent="0.3">
      <c r="B706" s="6"/>
      <c r="C706" s="3"/>
      <c r="D706" s="6">
        <v>620.24</v>
      </c>
      <c r="E706" s="3">
        <v>1904.1</v>
      </c>
    </row>
    <row r="707" spans="2:5" x14ac:dyDescent="0.3">
      <c r="B707" s="6"/>
      <c r="C707" s="3"/>
      <c r="D707" s="6">
        <v>623.41</v>
      </c>
      <c r="E707" s="3">
        <v>6474.69</v>
      </c>
    </row>
    <row r="708" spans="2:5" x14ac:dyDescent="0.3">
      <c r="B708" s="6"/>
      <c r="C708" s="3"/>
      <c r="D708" s="6">
        <v>624.30999999999995</v>
      </c>
      <c r="E708" s="3">
        <v>3073.39</v>
      </c>
    </row>
    <row r="709" spans="2:5" x14ac:dyDescent="0.3">
      <c r="B709" s="6"/>
      <c r="C709" s="3"/>
      <c r="D709" s="6">
        <v>627.20000000000005</v>
      </c>
      <c r="E709" s="3">
        <v>2650.92</v>
      </c>
    </row>
    <row r="710" spans="2:5" x14ac:dyDescent="0.3">
      <c r="B710" s="6"/>
      <c r="C710" s="3"/>
      <c r="D710" s="6">
        <v>627.61</v>
      </c>
      <c r="E710" s="3">
        <v>3945.69</v>
      </c>
    </row>
    <row r="711" spans="2:5" x14ac:dyDescent="0.3">
      <c r="B711" s="6"/>
      <c r="C711" s="3"/>
      <c r="D711" s="6">
        <v>628.96</v>
      </c>
      <c r="E711" s="3">
        <v>3524.1</v>
      </c>
    </row>
    <row r="712" spans="2:5" x14ac:dyDescent="0.3">
      <c r="B712" s="6"/>
      <c r="C712" s="3"/>
      <c r="D712" s="6">
        <v>630.69000000000005</v>
      </c>
      <c r="E712" s="3">
        <v>5776.86</v>
      </c>
    </row>
    <row r="713" spans="2:5" x14ac:dyDescent="0.3">
      <c r="B713" s="6"/>
      <c r="C713" s="3"/>
      <c r="D713" s="6">
        <v>634.77</v>
      </c>
      <c r="E713" s="3">
        <v>5611.59</v>
      </c>
    </row>
    <row r="714" spans="2:5" x14ac:dyDescent="0.3">
      <c r="B714" s="6"/>
      <c r="C714" s="3"/>
      <c r="D714" s="6">
        <v>637.49</v>
      </c>
      <c r="E714" s="3">
        <v>4518.62</v>
      </c>
    </row>
    <row r="715" spans="2:5" x14ac:dyDescent="0.3">
      <c r="B715" s="6"/>
      <c r="C715" s="3"/>
      <c r="D715" s="6">
        <v>638.72</v>
      </c>
      <c r="E715" s="3">
        <v>4350.1000000000004</v>
      </c>
    </row>
    <row r="716" spans="2:5" x14ac:dyDescent="0.3">
      <c r="B716" s="6"/>
      <c r="C716" s="3"/>
      <c r="D716" s="6">
        <v>639.74</v>
      </c>
      <c r="E716" s="3">
        <v>3216.41</v>
      </c>
    </row>
    <row r="717" spans="2:5" x14ac:dyDescent="0.3">
      <c r="B717" s="6"/>
      <c r="C717" s="3"/>
      <c r="D717" s="6">
        <v>640.19000000000005</v>
      </c>
      <c r="E717" s="3">
        <v>3477.69</v>
      </c>
    </row>
    <row r="718" spans="2:5" x14ac:dyDescent="0.3">
      <c r="B718" s="6"/>
      <c r="C718" s="3"/>
      <c r="D718" s="6">
        <v>642.16</v>
      </c>
      <c r="E718" s="3">
        <v>2261.1</v>
      </c>
    </row>
    <row r="719" spans="2:5" x14ac:dyDescent="0.3">
      <c r="B719" s="6"/>
      <c r="C719" s="3"/>
      <c r="D719" s="6">
        <v>643.91</v>
      </c>
      <c r="E719" s="3">
        <v>2838.98</v>
      </c>
    </row>
    <row r="720" spans="2:5" x14ac:dyDescent="0.3">
      <c r="B720" s="6"/>
      <c r="C720" s="3"/>
      <c r="D720" s="6">
        <v>646.54999999999995</v>
      </c>
      <c r="E720" s="3">
        <v>4479.54</v>
      </c>
    </row>
    <row r="721" spans="2:5" x14ac:dyDescent="0.3">
      <c r="B721" s="6"/>
      <c r="C721" s="3"/>
      <c r="D721" s="6">
        <v>654.08000000000004</v>
      </c>
      <c r="E721" s="3">
        <v>3696.31</v>
      </c>
    </row>
    <row r="722" spans="2:5" x14ac:dyDescent="0.3">
      <c r="B722" s="6"/>
      <c r="C722" s="3"/>
      <c r="D722" s="6">
        <v>654.39</v>
      </c>
      <c r="E722" s="3">
        <v>5172.34</v>
      </c>
    </row>
    <row r="723" spans="2:5" x14ac:dyDescent="0.3">
      <c r="B723" s="6"/>
      <c r="C723" s="3"/>
      <c r="D723" s="6">
        <v>656.75</v>
      </c>
      <c r="E723" s="3">
        <v>1607.74</v>
      </c>
    </row>
    <row r="724" spans="2:5" x14ac:dyDescent="0.3">
      <c r="B724" s="6"/>
      <c r="C724" s="3"/>
      <c r="D724" s="6">
        <v>670.01</v>
      </c>
      <c r="E724" s="3">
        <v>3615.31</v>
      </c>
    </row>
    <row r="725" spans="2:5" x14ac:dyDescent="0.3">
      <c r="B725" s="6"/>
      <c r="C725" s="3"/>
      <c r="D725" s="6">
        <v>671.76</v>
      </c>
      <c r="E725" s="3">
        <v>1015.41</v>
      </c>
    </row>
    <row r="726" spans="2:5" x14ac:dyDescent="0.3">
      <c r="B726" s="6"/>
      <c r="C726" s="3"/>
      <c r="D726" s="6">
        <v>672.4</v>
      </c>
      <c r="E726" s="3">
        <v>1314.95</v>
      </c>
    </row>
    <row r="727" spans="2:5" x14ac:dyDescent="0.3">
      <c r="B727" s="6"/>
      <c r="C727" s="3"/>
      <c r="D727" s="6">
        <v>672.97</v>
      </c>
      <c r="E727" s="3">
        <v>6294.3</v>
      </c>
    </row>
    <row r="728" spans="2:5" x14ac:dyDescent="0.3">
      <c r="B728" s="6"/>
      <c r="C728" s="3"/>
      <c r="D728" s="6">
        <v>673.52</v>
      </c>
      <c r="E728" s="3">
        <v>2799.33</v>
      </c>
    </row>
    <row r="729" spans="2:5" x14ac:dyDescent="0.3">
      <c r="B729" s="6"/>
      <c r="C729" s="3"/>
      <c r="D729" s="6">
        <v>674.27</v>
      </c>
      <c r="E729" s="3">
        <v>2529.34</v>
      </c>
    </row>
    <row r="730" spans="2:5" x14ac:dyDescent="0.3">
      <c r="B730" s="6"/>
      <c r="C730" s="3"/>
      <c r="D730" s="6">
        <v>676.01</v>
      </c>
      <c r="E730" s="3">
        <v>1561</v>
      </c>
    </row>
    <row r="731" spans="2:5" x14ac:dyDescent="0.3">
      <c r="B731" s="6"/>
      <c r="C731" s="3"/>
      <c r="D731" s="6">
        <v>677.4</v>
      </c>
      <c r="E731" s="3">
        <v>4800.93</v>
      </c>
    </row>
    <row r="732" spans="2:5" x14ac:dyDescent="0.3">
      <c r="B732" s="6"/>
      <c r="C732" s="3"/>
      <c r="D732" s="6">
        <v>678.65</v>
      </c>
      <c r="E732" s="3">
        <v>1181.58</v>
      </c>
    </row>
    <row r="733" spans="2:5" x14ac:dyDescent="0.3">
      <c r="B733" s="6"/>
      <c r="C733" s="3"/>
      <c r="D733" s="6">
        <v>678.98</v>
      </c>
      <c r="E733" s="3">
        <v>4860.04</v>
      </c>
    </row>
    <row r="734" spans="2:5" x14ac:dyDescent="0.3">
      <c r="B734" s="6"/>
      <c r="C734" s="3"/>
      <c r="D734" s="6">
        <v>682.93</v>
      </c>
      <c r="E734" s="3">
        <v>5417.28</v>
      </c>
    </row>
    <row r="735" spans="2:5" x14ac:dyDescent="0.3">
      <c r="B735" s="6"/>
      <c r="C735" s="3"/>
      <c r="D735" s="6">
        <v>683.5</v>
      </c>
      <c r="E735" s="3">
        <v>2074.87</v>
      </c>
    </row>
    <row r="736" spans="2:5" x14ac:dyDescent="0.3">
      <c r="B736" s="6"/>
      <c r="C736" s="3"/>
      <c r="D736" s="6">
        <v>686.7</v>
      </c>
      <c r="E736" s="3">
        <v>4890.34</v>
      </c>
    </row>
    <row r="737" spans="2:5" x14ac:dyDescent="0.3">
      <c r="B737" s="6"/>
      <c r="C737" s="3"/>
      <c r="D737" s="6">
        <v>688.12</v>
      </c>
      <c r="E737" s="3">
        <v>5106.78</v>
      </c>
    </row>
    <row r="738" spans="2:5" x14ac:dyDescent="0.3">
      <c r="B738" s="6"/>
      <c r="C738" s="3"/>
      <c r="D738" s="6">
        <v>693.08</v>
      </c>
      <c r="E738" s="3">
        <v>5395.51</v>
      </c>
    </row>
    <row r="739" spans="2:5" x14ac:dyDescent="0.3">
      <c r="B739" s="6"/>
      <c r="C739" s="3"/>
      <c r="D739" s="6">
        <v>693.47</v>
      </c>
      <c r="E739" s="3">
        <v>4261.01</v>
      </c>
    </row>
    <row r="740" spans="2:5" x14ac:dyDescent="0.3">
      <c r="B740" s="6"/>
      <c r="C740" s="3"/>
      <c r="D740" s="6">
        <v>698.49</v>
      </c>
      <c r="E740" s="3">
        <v>2125.5</v>
      </c>
    </row>
    <row r="741" spans="2:5" x14ac:dyDescent="0.3">
      <c r="B741" s="6"/>
      <c r="C741" s="3"/>
      <c r="D741" s="6">
        <v>698.89</v>
      </c>
      <c r="E741" s="3">
        <v>1891.79</v>
      </c>
    </row>
    <row r="742" spans="2:5" x14ac:dyDescent="0.3">
      <c r="B742" s="6"/>
      <c r="C742" s="3"/>
      <c r="D742" s="6">
        <v>700.47</v>
      </c>
      <c r="E742" s="3">
        <v>5132.07</v>
      </c>
    </row>
    <row r="743" spans="2:5" x14ac:dyDescent="0.3">
      <c r="B743" s="6"/>
      <c r="C743" s="3"/>
      <c r="D743" s="6">
        <v>702.01</v>
      </c>
      <c r="E743" s="3">
        <v>6582.83</v>
      </c>
    </row>
    <row r="744" spans="2:5" x14ac:dyDescent="0.3">
      <c r="B744" s="6"/>
      <c r="C744" s="3"/>
      <c r="D744" s="6">
        <v>702.17</v>
      </c>
      <c r="E744" s="3">
        <v>1803.29</v>
      </c>
    </row>
    <row r="745" spans="2:5" x14ac:dyDescent="0.3">
      <c r="B745" s="6"/>
      <c r="C745" s="3"/>
      <c r="D745" s="6">
        <v>707.07</v>
      </c>
      <c r="E745" s="3">
        <v>6185.5</v>
      </c>
    </row>
    <row r="746" spans="2:5" x14ac:dyDescent="0.3">
      <c r="B746" s="6"/>
      <c r="C746" s="3"/>
      <c r="D746" s="6">
        <v>713.24</v>
      </c>
      <c r="E746" s="3">
        <v>1381.35</v>
      </c>
    </row>
    <row r="747" spans="2:5" x14ac:dyDescent="0.3">
      <c r="B747" s="6"/>
      <c r="C747" s="3"/>
      <c r="D747" s="6">
        <v>713.25</v>
      </c>
      <c r="E747" s="3">
        <v>4062.25</v>
      </c>
    </row>
    <row r="748" spans="2:5" x14ac:dyDescent="0.3">
      <c r="B748" s="6"/>
      <c r="C748" s="3"/>
      <c r="D748" s="6">
        <v>713.28</v>
      </c>
      <c r="E748" s="3">
        <v>5066.17</v>
      </c>
    </row>
    <row r="749" spans="2:5" x14ac:dyDescent="0.3">
      <c r="B749" s="6"/>
      <c r="C749" s="3"/>
      <c r="D749" s="6">
        <v>717.29</v>
      </c>
      <c r="E749" s="3">
        <v>2566.88</v>
      </c>
    </row>
    <row r="750" spans="2:5" x14ac:dyDescent="0.3">
      <c r="B750" s="6"/>
      <c r="C750" s="3"/>
      <c r="D750" s="6">
        <v>717.58</v>
      </c>
      <c r="E750" s="3">
        <v>6970.9</v>
      </c>
    </row>
    <row r="751" spans="2:5" x14ac:dyDescent="0.3">
      <c r="B751" s="6"/>
      <c r="C751" s="3"/>
      <c r="D751" s="6">
        <v>722.34</v>
      </c>
      <c r="E751" s="3">
        <v>1219.32</v>
      </c>
    </row>
    <row r="752" spans="2:5" x14ac:dyDescent="0.3">
      <c r="B752" s="6"/>
      <c r="C752" s="3"/>
      <c r="D752" s="6">
        <v>726.06</v>
      </c>
      <c r="E752" s="3">
        <v>1513.68</v>
      </c>
    </row>
    <row r="753" spans="2:5" x14ac:dyDescent="0.3">
      <c r="B753" s="6"/>
      <c r="C753" s="3"/>
      <c r="D753" s="6">
        <v>730.48</v>
      </c>
      <c r="E753" s="3">
        <v>5445.81</v>
      </c>
    </row>
    <row r="754" spans="2:5" x14ac:dyDescent="0.3">
      <c r="B754" s="6"/>
      <c r="C754" s="3"/>
      <c r="D754" s="6">
        <v>730.92</v>
      </c>
      <c r="E754" s="3">
        <v>2459.83</v>
      </c>
    </row>
    <row r="755" spans="2:5" x14ac:dyDescent="0.3">
      <c r="B755" s="6"/>
      <c r="C755" s="3"/>
      <c r="D755" s="6">
        <v>731.43</v>
      </c>
      <c r="E755" s="3">
        <v>4688.49</v>
      </c>
    </row>
    <row r="756" spans="2:5" x14ac:dyDescent="0.3">
      <c r="B756" s="6"/>
      <c r="C756" s="3"/>
      <c r="D756" s="6">
        <v>733.13</v>
      </c>
      <c r="E756" s="3">
        <v>3260.95</v>
      </c>
    </row>
    <row r="757" spans="2:5" x14ac:dyDescent="0.3">
      <c r="B757" s="6"/>
      <c r="C757" s="3"/>
      <c r="D757" s="6">
        <v>734.97</v>
      </c>
      <c r="E757" s="3">
        <v>2923.86</v>
      </c>
    </row>
    <row r="758" spans="2:5" x14ac:dyDescent="0.3">
      <c r="B758" s="6"/>
      <c r="C758" s="3"/>
      <c r="D758" s="6">
        <v>736.56</v>
      </c>
      <c r="E758" s="3">
        <v>3541.45</v>
      </c>
    </row>
    <row r="759" spans="2:5" x14ac:dyDescent="0.3">
      <c r="B759" s="6"/>
      <c r="C759" s="3"/>
      <c r="D759" s="6">
        <v>739.2</v>
      </c>
      <c r="E759" s="3">
        <v>6762.47</v>
      </c>
    </row>
    <row r="760" spans="2:5" x14ac:dyDescent="0.3">
      <c r="B760" s="6"/>
      <c r="C760" s="3"/>
      <c r="D760" s="6">
        <v>742.61</v>
      </c>
      <c r="E760" s="3">
        <v>2283.7199999999998</v>
      </c>
    </row>
    <row r="761" spans="2:5" x14ac:dyDescent="0.3">
      <c r="B761" s="6"/>
      <c r="C761" s="3"/>
      <c r="D761" s="6">
        <v>743.3</v>
      </c>
      <c r="E761" s="3">
        <v>3010.25</v>
      </c>
    </row>
    <row r="762" spans="2:5" x14ac:dyDescent="0.3">
      <c r="B762" s="6"/>
      <c r="C762" s="3"/>
      <c r="D762" s="6">
        <v>743.47</v>
      </c>
      <c r="E762" s="3">
        <v>2276.56</v>
      </c>
    </row>
    <row r="763" spans="2:5" x14ac:dyDescent="0.3">
      <c r="B763" s="6"/>
      <c r="C763" s="3"/>
      <c r="D763" s="6">
        <v>747.81</v>
      </c>
      <c r="E763" s="3">
        <v>4615.1499999999996</v>
      </c>
    </row>
    <row r="764" spans="2:5" x14ac:dyDescent="0.3">
      <c r="B764" s="6"/>
      <c r="C764" s="3"/>
      <c r="D764" s="6">
        <v>747.87</v>
      </c>
      <c r="E764" s="3">
        <v>6352.12</v>
      </c>
    </row>
    <row r="765" spans="2:5" x14ac:dyDescent="0.3">
      <c r="B765" s="6"/>
      <c r="C765" s="3"/>
      <c r="D765" s="6">
        <v>750.1</v>
      </c>
      <c r="E765" s="3">
        <v>4383.1000000000004</v>
      </c>
    </row>
    <row r="766" spans="2:5" x14ac:dyDescent="0.3">
      <c r="B766" s="6"/>
      <c r="C766" s="3"/>
      <c r="D766" s="6">
        <v>750.24</v>
      </c>
      <c r="E766" s="3">
        <v>4378.87</v>
      </c>
    </row>
    <row r="767" spans="2:5" x14ac:dyDescent="0.3">
      <c r="B767" s="6"/>
      <c r="C767" s="3"/>
      <c r="D767" s="6">
        <v>756.36</v>
      </c>
      <c r="E767" s="3">
        <v>5362.62</v>
      </c>
    </row>
    <row r="768" spans="2:5" x14ac:dyDescent="0.3">
      <c r="B768" s="6"/>
      <c r="C768" s="3"/>
      <c r="D768" s="6">
        <v>757.55</v>
      </c>
      <c r="E768" s="3">
        <v>6293.01</v>
      </c>
    </row>
    <row r="769" spans="2:5" x14ac:dyDescent="0.3">
      <c r="B769" s="6"/>
      <c r="C769" s="3"/>
      <c r="D769" s="6">
        <v>758.63</v>
      </c>
      <c r="E769" s="3">
        <v>2566.65</v>
      </c>
    </row>
    <row r="770" spans="2:5" x14ac:dyDescent="0.3">
      <c r="B770" s="6"/>
      <c r="C770" s="3"/>
      <c r="D770" s="6">
        <v>759.11</v>
      </c>
      <c r="E770" s="3">
        <v>1541</v>
      </c>
    </row>
    <row r="771" spans="2:5" x14ac:dyDescent="0.3">
      <c r="B771" s="6"/>
      <c r="C771" s="3"/>
      <c r="D771" s="6">
        <v>759.88</v>
      </c>
      <c r="E771" s="3">
        <v>2497.1799999999998</v>
      </c>
    </row>
    <row r="772" spans="2:5" x14ac:dyDescent="0.3">
      <c r="B772" s="6"/>
      <c r="C772" s="3"/>
      <c r="D772" s="6">
        <v>760.35</v>
      </c>
      <c r="E772" s="3">
        <v>5467.56</v>
      </c>
    </row>
    <row r="773" spans="2:5" x14ac:dyDescent="0.3">
      <c r="B773" s="6"/>
      <c r="C773" s="3"/>
      <c r="D773" s="6">
        <v>761.27</v>
      </c>
      <c r="E773" s="3">
        <v>3715.57</v>
      </c>
    </row>
    <row r="774" spans="2:5" x14ac:dyDescent="0.3">
      <c r="B774" s="6"/>
      <c r="C774" s="3"/>
      <c r="D774" s="6">
        <v>762.33</v>
      </c>
      <c r="E774" s="3">
        <v>1545.37</v>
      </c>
    </row>
    <row r="775" spans="2:5" x14ac:dyDescent="0.3">
      <c r="B775" s="6"/>
      <c r="C775" s="3"/>
      <c r="D775" s="6">
        <v>763.6</v>
      </c>
      <c r="E775" s="3">
        <v>2080.23</v>
      </c>
    </row>
    <row r="776" spans="2:5" x14ac:dyDescent="0.3">
      <c r="B776" s="6"/>
      <c r="C776" s="3"/>
      <c r="D776" s="6">
        <v>763.74</v>
      </c>
      <c r="E776" s="3">
        <v>6707.75</v>
      </c>
    </row>
    <row r="777" spans="2:5" x14ac:dyDescent="0.3">
      <c r="B777" s="6"/>
      <c r="C777" s="3"/>
      <c r="D777" s="6">
        <v>764.84</v>
      </c>
      <c r="E777" s="3">
        <v>6454.01</v>
      </c>
    </row>
    <row r="778" spans="2:5" x14ac:dyDescent="0.3">
      <c r="B778" s="6"/>
      <c r="C778" s="3"/>
      <c r="D778" s="6">
        <v>765.93</v>
      </c>
      <c r="E778" s="3">
        <v>2809.5</v>
      </c>
    </row>
    <row r="779" spans="2:5" x14ac:dyDescent="0.3">
      <c r="B779" s="6"/>
      <c r="C779" s="3"/>
      <c r="D779" s="6">
        <v>767.82</v>
      </c>
      <c r="E779" s="3">
        <v>4032.57</v>
      </c>
    </row>
    <row r="780" spans="2:5" x14ac:dyDescent="0.3">
      <c r="B780" s="6"/>
      <c r="C780" s="3"/>
      <c r="D780" s="6">
        <v>772.68</v>
      </c>
      <c r="E780" s="3">
        <v>4752.2</v>
      </c>
    </row>
    <row r="781" spans="2:5" x14ac:dyDescent="0.3">
      <c r="B781" s="6"/>
      <c r="C781" s="3"/>
      <c r="D781" s="6">
        <v>774.96</v>
      </c>
      <c r="E781" s="3">
        <v>1325.61</v>
      </c>
    </row>
    <row r="782" spans="2:5" x14ac:dyDescent="0.3">
      <c r="B782" s="6"/>
      <c r="C782" s="3"/>
      <c r="D782" s="6">
        <v>775.05</v>
      </c>
      <c r="E782" s="3">
        <v>3998.98</v>
      </c>
    </row>
    <row r="783" spans="2:5" x14ac:dyDescent="0.3">
      <c r="B783" s="6"/>
      <c r="C783" s="3"/>
      <c r="D783" s="6">
        <v>775.8</v>
      </c>
      <c r="E783" s="3">
        <v>1648.59</v>
      </c>
    </row>
    <row r="784" spans="2:5" x14ac:dyDescent="0.3">
      <c r="B784" s="6"/>
      <c r="C784" s="3"/>
      <c r="D784" s="6">
        <v>776.59</v>
      </c>
      <c r="E784" s="3">
        <v>3618.36</v>
      </c>
    </row>
    <row r="785" spans="2:5" x14ac:dyDescent="0.3">
      <c r="B785" s="6"/>
      <c r="C785" s="3"/>
      <c r="D785" s="6">
        <v>777.93</v>
      </c>
      <c r="E785" s="3">
        <v>3717.85</v>
      </c>
    </row>
    <row r="786" spans="2:5" x14ac:dyDescent="0.3">
      <c r="B786" s="6"/>
      <c r="C786" s="3"/>
      <c r="D786" s="6">
        <v>783.99</v>
      </c>
      <c r="E786" s="3">
        <v>3571.05</v>
      </c>
    </row>
    <row r="787" spans="2:5" x14ac:dyDescent="0.3">
      <c r="B787" s="6"/>
      <c r="C787" s="3"/>
      <c r="D787" s="6">
        <v>784.18</v>
      </c>
      <c r="E787" s="3">
        <v>2602.5300000000002</v>
      </c>
    </row>
    <row r="788" spans="2:5" x14ac:dyDescent="0.3">
      <c r="B788" s="6"/>
      <c r="C788" s="3"/>
      <c r="D788" s="6">
        <v>785.09</v>
      </c>
      <c r="E788" s="3">
        <v>3253.19</v>
      </c>
    </row>
    <row r="789" spans="2:5" x14ac:dyDescent="0.3">
      <c r="B789" s="6"/>
      <c r="C789" s="3"/>
      <c r="D789" s="6">
        <v>785.36</v>
      </c>
      <c r="E789" s="3">
        <v>1394.09</v>
      </c>
    </row>
    <row r="790" spans="2:5" x14ac:dyDescent="0.3">
      <c r="B790" s="6"/>
      <c r="C790" s="3"/>
      <c r="D790" s="6">
        <v>789.27</v>
      </c>
      <c r="E790" s="3">
        <v>2193.0300000000002</v>
      </c>
    </row>
    <row r="791" spans="2:5" x14ac:dyDescent="0.3">
      <c r="B791" s="6"/>
      <c r="C791" s="3"/>
      <c r="D791" s="6">
        <v>789.73</v>
      </c>
      <c r="E791" s="3">
        <v>5008.8500000000004</v>
      </c>
    </row>
    <row r="792" spans="2:5" x14ac:dyDescent="0.3">
      <c r="B792" s="6"/>
      <c r="C792" s="3"/>
      <c r="D792" s="6">
        <v>791.42</v>
      </c>
      <c r="E792" s="3">
        <v>3653.25</v>
      </c>
    </row>
    <row r="793" spans="2:5" x14ac:dyDescent="0.3">
      <c r="B793" s="6"/>
      <c r="C793" s="3"/>
      <c r="D793" s="6">
        <v>791.69</v>
      </c>
      <c r="E793" s="3">
        <v>5437.46</v>
      </c>
    </row>
    <row r="794" spans="2:5" x14ac:dyDescent="0.3">
      <c r="B794" s="6"/>
      <c r="C794" s="3"/>
      <c r="D794" s="6">
        <v>793.77</v>
      </c>
      <c r="E794" s="3">
        <v>1044.0899999999999</v>
      </c>
    </row>
    <row r="795" spans="2:5" x14ac:dyDescent="0.3">
      <c r="B795" s="6"/>
      <c r="C795" s="3"/>
      <c r="D795" s="6">
        <v>795.89</v>
      </c>
      <c r="E795" s="3">
        <v>3532.96</v>
      </c>
    </row>
    <row r="796" spans="2:5" x14ac:dyDescent="0.3">
      <c r="B796" s="6"/>
      <c r="C796" s="3"/>
      <c r="D796" s="6">
        <v>795.98</v>
      </c>
      <c r="E796" s="3">
        <v>2397.9899999999998</v>
      </c>
    </row>
    <row r="797" spans="2:5" x14ac:dyDescent="0.3">
      <c r="B797" s="6"/>
      <c r="C797" s="3"/>
      <c r="D797" s="6">
        <v>796.08</v>
      </c>
      <c r="E797" s="3">
        <v>5017.63</v>
      </c>
    </row>
    <row r="798" spans="2:5" x14ac:dyDescent="0.3">
      <c r="B798" s="6"/>
      <c r="C798" s="3"/>
      <c r="D798" s="6">
        <v>796.12</v>
      </c>
      <c r="E798" s="3">
        <v>1516.72</v>
      </c>
    </row>
    <row r="799" spans="2:5" x14ac:dyDescent="0.3">
      <c r="B799" s="6"/>
      <c r="C799" s="3"/>
      <c r="D799" s="6">
        <v>801.66</v>
      </c>
      <c r="E799" s="3">
        <v>3942.62</v>
      </c>
    </row>
    <row r="800" spans="2:5" x14ac:dyDescent="0.3">
      <c r="B800" s="6"/>
      <c r="C800" s="3"/>
      <c r="D800" s="6">
        <v>802.92</v>
      </c>
      <c r="E800" s="3">
        <v>1309.22</v>
      </c>
    </row>
    <row r="801" spans="2:5" x14ac:dyDescent="0.3">
      <c r="B801" s="6"/>
      <c r="C801" s="3"/>
      <c r="D801" s="6">
        <v>803.64</v>
      </c>
      <c r="E801" s="3">
        <v>5562.04</v>
      </c>
    </row>
    <row r="802" spans="2:5" x14ac:dyDescent="0.3">
      <c r="B802" s="6"/>
      <c r="C802" s="3"/>
      <c r="D802" s="6">
        <v>803.73</v>
      </c>
      <c r="E802" s="3">
        <v>3279.56</v>
      </c>
    </row>
    <row r="803" spans="2:5" x14ac:dyDescent="0.3">
      <c r="B803" s="6"/>
      <c r="C803" s="3"/>
      <c r="D803" s="6">
        <v>804.83</v>
      </c>
      <c r="E803" s="3">
        <v>5454.5</v>
      </c>
    </row>
    <row r="804" spans="2:5" x14ac:dyDescent="0.3">
      <c r="B804" s="6"/>
      <c r="C804" s="3"/>
      <c r="D804" s="6">
        <v>805.38</v>
      </c>
      <c r="E804" s="3">
        <v>2901.27</v>
      </c>
    </row>
    <row r="805" spans="2:5" x14ac:dyDescent="0.3">
      <c r="B805" s="6"/>
      <c r="C805" s="3"/>
      <c r="D805" s="6">
        <v>806.93</v>
      </c>
      <c r="E805" s="3">
        <v>5142.8599999999997</v>
      </c>
    </row>
    <row r="806" spans="2:5" x14ac:dyDescent="0.3">
      <c r="B806" s="6"/>
      <c r="C806" s="3"/>
      <c r="D806" s="6">
        <v>809</v>
      </c>
      <c r="E806" s="3">
        <v>1684.08</v>
      </c>
    </row>
    <row r="807" spans="2:5" x14ac:dyDescent="0.3">
      <c r="B807" s="6"/>
      <c r="C807" s="3"/>
      <c r="D807" s="6">
        <v>810.26</v>
      </c>
      <c r="E807" s="3">
        <v>2421.6799999999998</v>
      </c>
    </row>
    <row r="808" spans="2:5" x14ac:dyDescent="0.3">
      <c r="B808" s="6"/>
      <c r="C808" s="3"/>
      <c r="D808" s="6">
        <v>811.31</v>
      </c>
      <c r="E808" s="3">
        <v>6175.82</v>
      </c>
    </row>
    <row r="809" spans="2:5" x14ac:dyDescent="0.3">
      <c r="B809" s="6"/>
      <c r="C809" s="3"/>
      <c r="D809" s="6">
        <v>811.48</v>
      </c>
      <c r="E809" s="3">
        <v>5143</v>
      </c>
    </row>
    <row r="810" spans="2:5" x14ac:dyDescent="0.3">
      <c r="B810" s="6"/>
      <c r="C810" s="3"/>
      <c r="D810" s="6">
        <v>811.49</v>
      </c>
      <c r="E810" s="3">
        <v>3065.59</v>
      </c>
    </row>
    <row r="811" spans="2:5" x14ac:dyDescent="0.3">
      <c r="B811" s="6"/>
      <c r="C811" s="3"/>
      <c r="D811" s="6">
        <v>811.88</v>
      </c>
      <c r="E811" s="3">
        <v>2567.8200000000002</v>
      </c>
    </row>
    <row r="812" spans="2:5" x14ac:dyDescent="0.3">
      <c r="B812" s="6"/>
      <c r="C812" s="3"/>
      <c r="D812" s="6">
        <v>817.84</v>
      </c>
      <c r="E812" s="3">
        <v>6300.05</v>
      </c>
    </row>
    <row r="813" spans="2:5" x14ac:dyDescent="0.3">
      <c r="B813" s="6"/>
      <c r="C813" s="3"/>
      <c r="D813" s="6">
        <v>818.1</v>
      </c>
      <c r="E813" s="3">
        <v>3382.08</v>
      </c>
    </row>
    <row r="814" spans="2:5" x14ac:dyDescent="0.3">
      <c r="B814" s="6"/>
      <c r="C814" s="3"/>
      <c r="D814" s="6">
        <v>818.35</v>
      </c>
      <c r="E814" s="3">
        <v>5039.79</v>
      </c>
    </row>
    <row r="815" spans="2:5" x14ac:dyDescent="0.3">
      <c r="B815" s="6"/>
      <c r="C815" s="3"/>
      <c r="D815" s="6">
        <v>818.62</v>
      </c>
      <c r="E815" s="3">
        <v>4515.25</v>
      </c>
    </row>
    <row r="816" spans="2:5" x14ac:dyDescent="0.3">
      <c r="B816" s="6"/>
      <c r="C816" s="3"/>
      <c r="D816" s="6">
        <v>829.76</v>
      </c>
      <c r="E816" s="3">
        <v>6750.78</v>
      </c>
    </row>
    <row r="817" spans="2:5" x14ac:dyDescent="0.3">
      <c r="B817" s="6"/>
      <c r="C817" s="3"/>
      <c r="D817" s="6">
        <v>831.86</v>
      </c>
      <c r="E817" s="3">
        <v>4685.74</v>
      </c>
    </row>
    <row r="818" spans="2:5" x14ac:dyDescent="0.3">
      <c r="B818" s="6"/>
      <c r="C818" s="3"/>
      <c r="D818" s="6">
        <v>832.27</v>
      </c>
      <c r="E818" s="3">
        <v>3153.51</v>
      </c>
    </row>
    <row r="819" spans="2:5" x14ac:dyDescent="0.3">
      <c r="B819" s="6"/>
      <c r="C819" s="3"/>
      <c r="D819" s="6">
        <v>834.4</v>
      </c>
      <c r="E819" s="3">
        <v>6107.28</v>
      </c>
    </row>
    <row r="820" spans="2:5" x14ac:dyDescent="0.3">
      <c r="B820" s="6"/>
      <c r="C820" s="3"/>
      <c r="D820" s="6">
        <v>835.85</v>
      </c>
      <c r="E820" s="3">
        <v>4544.99</v>
      </c>
    </row>
    <row r="821" spans="2:5" x14ac:dyDescent="0.3">
      <c r="B821" s="6"/>
      <c r="C821" s="3"/>
      <c r="D821" s="6">
        <v>837.9</v>
      </c>
      <c r="E821" s="3">
        <v>2444.98</v>
      </c>
    </row>
    <row r="822" spans="2:5" x14ac:dyDescent="0.3">
      <c r="B822" s="6"/>
      <c r="C822" s="3"/>
      <c r="D822" s="6">
        <v>838.52</v>
      </c>
      <c r="E822" s="3">
        <v>1253.1199999999999</v>
      </c>
    </row>
    <row r="823" spans="2:5" x14ac:dyDescent="0.3">
      <c r="B823" s="6"/>
      <c r="C823" s="3"/>
      <c r="D823" s="6">
        <v>838.71</v>
      </c>
      <c r="E823" s="3">
        <v>6326.81</v>
      </c>
    </row>
    <row r="824" spans="2:5" x14ac:dyDescent="0.3">
      <c r="B824" s="6"/>
      <c r="C824" s="3"/>
      <c r="D824" s="6">
        <v>840.34</v>
      </c>
      <c r="E824" s="3">
        <v>1112.5899999999999</v>
      </c>
    </row>
    <row r="825" spans="2:5" x14ac:dyDescent="0.3">
      <c r="B825" s="6"/>
      <c r="C825" s="3"/>
      <c r="D825" s="6">
        <v>844.99</v>
      </c>
      <c r="E825" s="3">
        <v>5884.4</v>
      </c>
    </row>
    <row r="826" spans="2:5" x14ac:dyDescent="0.3">
      <c r="B826" s="6"/>
      <c r="C826" s="3"/>
      <c r="D826" s="6">
        <v>845.03</v>
      </c>
      <c r="E826" s="3">
        <v>1998.03</v>
      </c>
    </row>
    <row r="827" spans="2:5" x14ac:dyDescent="0.3">
      <c r="B827" s="6"/>
      <c r="C827" s="3"/>
      <c r="D827" s="6">
        <v>850.09</v>
      </c>
      <c r="E827" s="3">
        <v>6527.15</v>
      </c>
    </row>
    <row r="828" spans="2:5" x14ac:dyDescent="0.3">
      <c r="B828" s="6"/>
      <c r="C828" s="3"/>
      <c r="D828" s="6">
        <v>853.67</v>
      </c>
      <c r="E828" s="3">
        <v>6938.65</v>
      </c>
    </row>
    <row r="829" spans="2:5" x14ac:dyDescent="0.3">
      <c r="B829" s="6"/>
      <c r="C829" s="3"/>
      <c r="D829" s="6">
        <v>854.79</v>
      </c>
      <c r="E829" s="3">
        <v>6280.81</v>
      </c>
    </row>
    <row r="830" spans="2:5" x14ac:dyDescent="0.3">
      <c r="B830" s="6"/>
      <c r="C830" s="3"/>
      <c r="D830" s="6">
        <v>856.32</v>
      </c>
      <c r="E830" s="3">
        <v>3838.96</v>
      </c>
    </row>
    <row r="831" spans="2:5" x14ac:dyDescent="0.3">
      <c r="B831" s="6"/>
      <c r="C831" s="3"/>
      <c r="D831" s="6">
        <v>858.66</v>
      </c>
      <c r="E831" s="3">
        <v>1835.07</v>
      </c>
    </row>
    <row r="832" spans="2:5" x14ac:dyDescent="0.3">
      <c r="B832" s="6"/>
      <c r="C832" s="3"/>
      <c r="D832" s="6">
        <v>861.66</v>
      </c>
      <c r="E832" s="3">
        <v>5114.4399999999996</v>
      </c>
    </row>
    <row r="833" spans="2:5" x14ac:dyDescent="0.3">
      <c r="B833" s="6"/>
      <c r="C833" s="3"/>
      <c r="D833" s="6">
        <v>862.02</v>
      </c>
      <c r="E833" s="3">
        <v>6125.27</v>
      </c>
    </row>
    <row r="834" spans="2:5" x14ac:dyDescent="0.3">
      <c r="B834" s="6"/>
      <c r="C834" s="3"/>
      <c r="D834" s="6">
        <v>863.55</v>
      </c>
      <c r="E834" s="3">
        <v>1758.47</v>
      </c>
    </row>
    <row r="835" spans="2:5" x14ac:dyDescent="0.3">
      <c r="B835" s="6"/>
      <c r="C835" s="3"/>
      <c r="D835" s="6">
        <v>864.24</v>
      </c>
      <c r="E835" s="3">
        <v>2182.21</v>
      </c>
    </row>
    <row r="836" spans="2:5" x14ac:dyDescent="0.3">
      <c r="B836" s="6"/>
      <c r="C836" s="3"/>
      <c r="D836" s="6">
        <v>869.84</v>
      </c>
      <c r="E836" s="3">
        <v>5461.74</v>
      </c>
    </row>
    <row r="837" spans="2:5" x14ac:dyDescent="0.3">
      <c r="B837" s="6"/>
      <c r="C837" s="3"/>
      <c r="D837" s="6">
        <v>870.18</v>
      </c>
      <c r="E837" s="3">
        <v>3188.99</v>
      </c>
    </row>
    <row r="838" spans="2:5" x14ac:dyDescent="0.3">
      <c r="B838" s="6"/>
      <c r="C838" s="3"/>
      <c r="D838" s="6">
        <v>871.3</v>
      </c>
      <c r="E838" s="3">
        <v>4483.57</v>
      </c>
    </row>
    <row r="839" spans="2:5" x14ac:dyDescent="0.3">
      <c r="B839" s="6"/>
      <c r="C839" s="3"/>
      <c r="D839" s="6">
        <v>871.87</v>
      </c>
      <c r="E839" s="3">
        <v>4207.8100000000004</v>
      </c>
    </row>
    <row r="840" spans="2:5" x14ac:dyDescent="0.3">
      <c r="B840" s="6"/>
      <c r="C840" s="3"/>
      <c r="D840" s="6">
        <v>872.02</v>
      </c>
      <c r="E840" s="3">
        <v>1403.75</v>
      </c>
    </row>
    <row r="841" spans="2:5" x14ac:dyDescent="0.3">
      <c r="B841" s="6"/>
      <c r="C841" s="3"/>
      <c r="D841" s="6">
        <v>872.28</v>
      </c>
      <c r="E841" s="3">
        <v>6771.47</v>
      </c>
    </row>
    <row r="842" spans="2:5" x14ac:dyDescent="0.3">
      <c r="B842" s="6"/>
      <c r="C842" s="3"/>
      <c r="D842" s="6">
        <v>876.85</v>
      </c>
      <c r="E842" s="3">
        <v>4478.57</v>
      </c>
    </row>
    <row r="843" spans="2:5" x14ac:dyDescent="0.3">
      <c r="B843" s="6"/>
      <c r="C843" s="3"/>
      <c r="D843" s="6">
        <v>877.76</v>
      </c>
      <c r="E843" s="3">
        <v>3113.93</v>
      </c>
    </row>
    <row r="844" spans="2:5" x14ac:dyDescent="0.3">
      <c r="B844" s="6"/>
      <c r="C844" s="3"/>
      <c r="D844" s="6">
        <v>878.22</v>
      </c>
      <c r="E844" s="3">
        <v>1682.91</v>
      </c>
    </row>
    <row r="845" spans="2:5" x14ac:dyDescent="0.3">
      <c r="B845" s="6"/>
      <c r="C845" s="3"/>
      <c r="D845" s="6">
        <v>879.06</v>
      </c>
      <c r="E845" s="3">
        <v>6696.8</v>
      </c>
    </row>
    <row r="846" spans="2:5" x14ac:dyDescent="0.3">
      <c r="B846" s="6"/>
      <c r="C846" s="3"/>
      <c r="D846" s="6">
        <v>880.73</v>
      </c>
      <c r="E846" s="3">
        <v>5647.64</v>
      </c>
    </row>
    <row r="847" spans="2:5" x14ac:dyDescent="0.3">
      <c r="B847" s="6"/>
      <c r="C847" s="3"/>
      <c r="D847" s="6">
        <v>883.22</v>
      </c>
      <c r="E847" s="3">
        <v>1380.05</v>
      </c>
    </row>
    <row r="848" spans="2:5" x14ac:dyDescent="0.3">
      <c r="B848" s="6"/>
      <c r="C848" s="3"/>
      <c r="D848" s="6">
        <v>884.68</v>
      </c>
      <c r="E848" s="3">
        <v>5881.05</v>
      </c>
    </row>
    <row r="849" spans="2:5" x14ac:dyDescent="0.3">
      <c r="B849" s="6"/>
      <c r="C849" s="3"/>
      <c r="D849" s="6">
        <v>886.45</v>
      </c>
      <c r="E849" s="3">
        <v>3404.24</v>
      </c>
    </row>
    <row r="850" spans="2:5" x14ac:dyDescent="0.3">
      <c r="B850" s="6"/>
      <c r="C850" s="3"/>
      <c r="D850" s="6">
        <v>886.78</v>
      </c>
      <c r="E850" s="3">
        <v>2744.97</v>
      </c>
    </row>
    <row r="851" spans="2:5" x14ac:dyDescent="0.3">
      <c r="B851" s="6"/>
      <c r="C851" s="3"/>
      <c r="D851" s="6">
        <v>888.65</v>
      </c>
      <c r="E851" s="3">
        <v>5378.37</v>
      </c>
    </row>
    <row r="852" spans="2:5" x14ac:dyDescent="0.3">
      <c r="B852" s="6"/>
      <c r="C852" s="3"/>
      <c r="D852" s="6">
        <v>888.85</v>
      </c>
      <c r="E852" s="3">
        <v>1981.08</v>
      </c>
    </row>
    <row r="853" spans="2:5" x14ac:dyDescent="0.3">
      <c r="B853" s="6"/>
      <c r="C853" s="3"/>
      <c r="D853" s="6">
        <v>893.43</v>
      </c>
      <c r="E853" s="3">
        <v>3538.23</v>
      </c>
    </row>
    <row r="854" spans="2:5" x14ac:dyDescent="0.3">
      <c r="B854" s="6"/>
      <c r="C854" s="3"/>
      <c r="D854" s="6">
        <v>894.62</v>
      </c>
      <c r="E854" s="3">
        <v>1389.56</v>
      </c>
    </row>
    <row r="855" spans="2:5" x14ac:dyDescent="0.3">
      <c r="B855" s="6"/>
      <c r="C855" s="3"/>
      <c r="D855" s="6">
        <v>896.17</v>
      </c>
      <c r="E855" s="3">
        <v>2212.41</v>
      </c>
    </row>
    <row r="856" spans="2:5" x14ac:dyDescent="0.3">
      <c r="B856" s="6"/>
      <c r="C856" s="3"/>
      <c r="D856" s="6">
        <v>902.55</v>
      </c>
      <c r="E856" s="3">
        <v>5476.65</v>
      </c>
    </row>
    <row r="857" spans="2:5" x14ac:dyDescent="0.3">
      <c r="B857" s="6"/>
      <c r="C857" s="3"/>
      <c r="D857" s="6">
        <v>904.05</v>
      </c>
      <c r="E857" s="3">
        <v>2686.51</v>
      </c>
    </row>
    <row r="858" spans="2:5" x14ac:dyDescent="0.3">
      <c r="B858" s="6"/>
      <c r="C858" s="3"/>
      <c r="D858" s="6">
        <v>904.9</v>
      </c>
      <c r="E858" s="3">
        <v>6648.91</v>
      </c>
    </row>
    <row r="859" spans="2:5" x14ac:dyDescent="0.3">
      <c r="B859" s="6"/>
      <c r="C859" s="3"/>
      <c r="D859" s="6">
        <v>906.96</v>
      </c>
      <c r="E859" s="3">
        <v>3819.47</v>
      </c>
    </row>
    <row r="860" spans="2:5" x14ac:dyDescent="0.3">
      <c r="B860" s="6"/>
      <c r="C860" s="3"/>
      <c r="D860" s="6">
        <v>907.9</v>
      </c>
      <c r="E860" s="3">
        <v>5450.16</v>
      </c>
    </row>
    <row r="861" spans="2:5" x14ac:dyDescent="0.3">
      <c r="B861" s="6"/>
      <c r="C861" s="3"/>
      <c r="D861" s="6">
        <v>908.83</v>
      </c>
      <c r="E861" s="3">
        <v>5190.88</v>
      </c>
    </row>
    <row r="862" spans="2:5" x14ac:dyDescent="0.3">
      <c r="B862" s="6"/>
      <c r="C862" s="3"/>
      <c r="D862" s="6">
        <v>911.16</v>
      </c>
      <c r="E862" s="3">
        <v>2290.12</v>
      </c>
    </row>
    <row r="863" spans="2:5" x14ac:dyDescent="0.3">
      <c r="B863" s="6"/>
      <c r="C863" s="3"/>
      <c r="D863" s="6">
        <v>912.47</v>
      </c>
      <c r="E863" s="3">
        <v>2118.5</v>
      </c>
    </row>
    <row r="864" spans="2:5" x14ac:dyDescent="0.3">
      <c r="B864" s="6"/>
      <c r="C864" s="3"/>
      <c r="D864" s="6">
        <v>917.2</v>
      </c>
      <c r="E864" s="3">
        <v>2047.29</v>
      </c>
    </row>
    <row r="865" spans="2:5" x14ac:dyDescent="0.3">
      <c r="B865" s="6"/>
      <c r="C865" s="3"/>
      <c r="D865" s="6">
        <v>917.3</v>
      </c>
      <c r="E865" s="3">
        <v>1901.44</v>
      </c>
    </row>
    <row r="866" spans="2:5" x14ac:dyDescent="0.3">
      <c r="B866" s="6"/>
      <c r="C866" s="3"/>
      <c r="D866" s="6">
        <v>920.31</v>
      </c>
      <c r="E866" s="3">
        <v>2009.4</v>
      </c>
    </row>
    <row r="867" spans="2:5" x14ac:dyDescent="0.3">
      <c r="B867" s="6"/>
      <c r="C867" s="3"/>
      <c r="D867" s="6">
        <v>920.63</v>
      </c>
      <c r="E867" s="3">
        <v>4483.88</v>
      </c>
    </row>
    <row r="868" spans="2:5" x14ac:dyDescent="0.3">
      <c r="B868" s="6"/>
      <c r="C868" s="3"/>
      <c r="D868" s="6">
        <v>922.04</v>
      </c>
      <c r="E868" s="3">
        <v>6846.39</v>
      </c>
    </row>
    <row r="869" spans="2:5" x14ac:dyDescent="0.3">
      <c r="B869" s="6"/>
      <c r="C869" s="3"/>
      <c r="D869" s="6">
        <v>923.73</v>
      </c>
      <c r="E869" s="3">
        <v>4347.78</v>
      </c>
    </row>
    <row r="870" spans="2:5" x14ac:dyDescent="0.3">
      <c r="B870" s="6"/>
      <c r="C870" s="3"/>
      <c r="D870" s="6">
        <v>923.98</v>
      </c>
      <c r="E870" s="3">
        <v>6669.93</v>
      </c>
    </row>
    <row r="871" spans="2:5" x14ac:dyDescent="0.3">
      <c r="B871" s="6"/>
      <c r="C871" s="3"/>
      <c r="D871" s="6">
        <v>926.6</v>
      </c>
      <c r="E871" s="3">
        <v>3226.07</v>
      </c>
    </row>
    <row r="872" spans="2:5" x14ac:dyDescent="0.3">
      <c r="B872" s="6"/>
      <c r="C872" s="3"/>
      <c r="D872" s="6">
        <v>927.08</v>
      </c>
      <c r="E872" s="3">
        <v>3985.14</v>
      </c>
    </row>
    <row r="873" spans="2:5" x14ac:dyDescent="0.3">
      <c r="B873" s="6"/>
      <c r="C873" s="3"/>
      <c r="D873" s="6">
        <v>928.21</v>
      </c>
      <c r="E873" s="3">
        <v>4920.7299999999996</v>
      </c>
    </row>
    <row r="874" spans="2:5" x14ac:dyDescent="0.3">
      <c r="B874" s="6"/>
      <c r="C874" s="3"/>
      <c r="D874" s="6">
        <v>931.29</v>
      </c>
      <c r="E874" s="3">
        <v>6770.43</v>
      </c>
    </row>
    <row r="875" spans="2:5" x14ac:dyDescent="0.3">
      <c r="B875" s="6"/>
      <c r="C875" s="3"/>
      <c r="D875" s="6">
        <v>931.52</v>
      </c>
      <c r="E875" s="3">
        <v>6960.9</v>
      </c>
    </row>
    <row r="876" spans="2:5" x14ac:dyDescent="0.3">
      <c r="B876" s="6"/>
      <c r="C876" s="3"/>
      <c r="D876" s="6">
        <v>932.44</v>
      </c>
      <c r="E876" s="3">
        <v>1924.47</v>
      </c>
    </row>
    <row r="877" spans="2:5" x14ac:dyDescent="0.3">
      <c r="B877" s="6"/>
      <c r="C877" s="3"/>
      <c r="D877" s="6">
        <v>932.97</v>
      </c>
      <c r="E877" s="3">
        <v>3616.74</v>
      </c>
    </row>
    <row r="878" spans="2:5" x14ac:dyDescent="0.3">
      <c r="B878" s="6"/>
      <c r="C878" s="3"/>
      <c r="D878" s="6">
        <v>933.99</v>
      </c>
      <c r="E878" s="3">
        <v>2339.42</v>
      </c>
    </row>
    <row r="879" spans="2:5" x14ac:dyDescent="0.3">
      <c r="B879" s="6"/>
      <c r="C879" s="3"/>
      <c r="D879" s="6">
        <v>938.54</v>
      </c>
      <c r="E879" s="3">
        <v>3285.3</v>
      </c>
    </row>
    <row r="880" spans="2:5" x14ac:dyDescent="0.3">
      <c r="B880" s="6"/>
      <c r="C880" s="3"/>
      <c r="D880" s="6">
        <v>939.75</v>
      </c>
      <c r="E880" s="3">
        <v>6096.65</v>
      </c>
    </row>
    <row r="881" spans="2:5" x14ac:dyDescent="0.3">
      <c r="B881" s="6"/>
      <c r="C881" s="3"/>
      <c r="D881" s="6">
        <v>942.51</v>
      </c>
      <c r="E881" s="3">
        <v>1984.93</v>
      </c>
    </row>
    <row r="882" spans="2:5" x14ac:dyDescent="0.3">
      <c r="B882" s="6"/>
      <c r="C882" s="3"/>
      <c r="D882" s="6">
        <v>942.88</v>
      </c>
      <c r="E882" s="3">
        <v>1723.94</v>
      </c>
    </row>
    <row r="883" spans="2:5" x14ac:dyDescent="0.3">
      <c r="B883" s="6"/>
      <c r="C883" s="3"/>
      <c r="D883" s="6">
        <v>944.71</v>
      </c>
      <c r="E883" s="3">
        <v>3297.83</v>
      </c>
    </row>
    <row r="884" spans="2:5" x14ac:dyDescent="0.3">
      <c r="B884" s="6"/>
      <c r="C884" s="3"/>
      <c r="D884" s="6">
        <v>945.8</v>
      </c>
      <c r="E884" s="3">
        <v>4143.78</v>
      </c>
    </row>
    <row r="885" spans="2:5" x14ac:dyDescent="0.3">
      <c r="B885" s="6"/>
      <c r="C885" s="3"/>
      <c r="D885" s="6">
        <v>946.77</v>
      </c>
      <c r="E885" s="3">
        <v>5106.3999999999996</v>
      </c>
    </row>
    <row r="886" spans="2:5" x14ac:dyDescent="0.3">
      <c r="B886" s="6"/>
      <c r="C886" s="3"/>
      <c r="D886" s="6">
        <v>947.29</v>
      </c>
      <c r="E886" s="3">
        <v>2829.02</v>
      </c>
    </row>
    <row r="887" spans="2:5" x14ac:dyDescent="0.3">
      <c r="B887" s="6"/>
      <c r="C887" s="3"/>
      <c r="D887" s="6">
        <v>949.33</v>
      </c>
      <c r="E887" s="3">
        <v>4433.7</v>
      </c>
    </row>
    <row r="888" spans="2:5" x14ac:dyDescent="0.3">
      <c r="B888" s="6"/>
      <c r="C888" s="3"/>
      <c r="D888" s="6">
        <v>949.8</v>
      </c>
      <c r="E888" s="3">
        <v>3711.95</v>
      </c>
    </row>
    <row r="889" spans="2:5" x14ac:dyDescent="0.3">
      <c r="B889" s="6"/>
      <c r="C889" s="3"/>
      <c r="D889" s="6">
        <v>950.17</v>
      </c>
      <c r="E889" s="3">
        <v>6906.37</v>
      </c>
    </row>
    <row r="890" spans="2:5" x14ac:dyDescent="0.3">
      <c r="B890" s="6"/>
      <c r="C890" s="3"/>
      <c r="D890" s="6">
        <v>952.33</v>
      </c>
      <c r="E890" s="3">
        <v>3333.01</v>
      </c>
    </row>
    <row r="891" spans="2:5" x14ac:dyDescent="0.3">
      <c r="B891" s="6"/>
      <c r="C891" s="3"/>
      <c r="D891" s="6">
        <v>953.08</v>
      </c>
      <c r="E891" s="3">
        <v>3714.65</v>
      </c>
    </row>
    <row r="892" spans="2:5" x14ac:dyDescent="0.3">
      <c r="B892" s="6"/>
      <c r="C892" s="3"/>
      <c r="D892" s="6">
        <v>955.74</v>
      </c>
      <c r="E892" s="3">
        <v>5855.8</v>
      </c>
    </row>
    <row r="893" spans="2:5" x14ac:dyDescent="0.3">
      <c r="B893" s="6"/>
      <c r="C893" s="3"/>
      <c r="D893" s="6">
        <v>957.47</v>
      </c>
      <c r="E893" s="3">
        <v>6796.33</v>
      </c>
    </row>
    <row r="894" spans="2:5" x14ac:dyDescent="0.3">
      <c r="B894" s="6"/>
      <c r="C894" s="3"/>
      <c r="D894" s="6">
        <v>958.2</v>
      </c>
      <c r="E894" s="3">
        <v>2876.24</v>
      </c>
    </row>
    <row r="895" spans="2:5" x14ac:dyDescent="0.3">
      <c r="B895" s="6"/>
      <c r="C895" s="3"/>
      <c r="D895" s="6">
        <v>958.49</v>
      </c>
      <c r="E895" s="3">
        <v>5597.08</v>
      </c>
    </row>
    <row r="896" spans="2:5" x14ac:dyDescent="0.3">
      <c r="B896" s="6"/>
      <c r="C896" s="3"/>
      <c r="D896" s="6">
        <v>959.49</v>
      </c>
      <c r="E896" s="3">
        <v>3650.3</v>
      </c>
    </row>
    <row r="897" spans="2:5" x14ac:dyDescent="0.3">
      <c r="B897" s="6"/>
      <c r="C897" s="3"/>
      <c r="D897" s="6">
        <v>962.51</v>
      </c>
      <c r="E897" s="3">
        <v>4833.7</v>
      </c>
    </row>
    <row r="898" spans="2:5" x14ac:dyDescent="0.3">
      <c r="B898" s="6"/>
      <c r="C898" s="3"/>
      <c r="D898" s="6">
        <v>963.12</v>
      </c>
      <c r="E898" s="3">
        <v>4095.46</v>
      </c>
    </row>
    <row r="899" spans="2:5" x14ac:dyDescent="0.3">
      <c r="B899" s="6"/>
      <c r="C899" s="3"/>
      <c r="D899" s="6">
        <v>964.24</v>
      </c>
      <c r="E899" s="3">
        <v>5054.87</v>
      </c>
    </row>
    <row r="900" spans="2:5" x14ac:dyDescent="0.3">
      <c r="B900" s="6"/>
      <c r="C900" s="3"/>
      <c r="D900" s="6">
        <v>965.87</v>
      </c>
      <c r="E900" s="3">
        <v>6681.75</v>
      </c>
    </row>
    <row r="901" spans="2:5" x14ac:dyDescent="0.3">
      <c r="B901" s="6"/>
      <c r="C901" s="3"/>
      <c r="D901" s="6">
        <v>971</v>
      </c>
      <c r="E901" s="3">
        <v>6967.21</v>
      </c>
    </row>
    <row r="902" spans="2:5" x14ac:dyDescent="0.3">
      <c r="B902" s="6"/>
      <c r="C902" s="3"/>
      <c r="D902" s="6">
        <v>971.1</v>
      </c>
      <c r="E902" s="3">
        <v>1925.52</v>
      </c>
    </row>
    <row r="903" spans="2:5" x14ac:dyDescent="0.3">
      <c r="B903" s="6"/>
      <c r="C903" s="3"/>
      <c r="D903" s="6">
        <v>973.46</v>
      </c>
      <c r="E903" s="3">
        <v>3205.37</v>
      </c>
    </row>
    <row r="904" spans="2:5" x14ac:dyDescent="0.3">
      <c r="B904" s="6"/>
      <c r="C904" s="3"/>
      <c r="D904" s="6">
        <v>973.53</v>
      </c>
      <c r="E904" s="3">
        <v>1413.56</v>
      </c>
    </row>
    <row r="905" spans="2:5" x14ac:dyDescent="0.3">
      <c r="B905" s="6"/>
      <c r="C905" s="3"/>
      <c r="D905" s="6">
        <v>974.19</v>
      </c>
      <c r="E905" s="3">
        <v>3902.56</v>
      </c>
    </row>
    <row r="906" spans="2:5" x14ac:dyDescent="0.3">
      <c r="B906" s="6"/>
      <c r="C906" s="3"/>
      <c r="D906" s="6">
        <v>979.67</v>
      </c>
      <c r="E906" s="3">
        <v>6853.88</v>
      </c>
    </row>
    <row r="907" spans="2:5" x14ac:dyDescent="0.3">
      <c r="B907" s="6"/>
      <c r="C907" s="3"/>
      <c r="D907" s="6">
        <v>981.92</v>
      </c>
      <c r="E907" s="3">
        <v>4154.88</v>
      </c>
    </row>
    <row r="908" spans="2:5" x14ac:dyDescent="0.3">
      <c r="B908" s="6"/>
      <c r="C908" s="3"/>
      <c r="D908" s="6">
        <v>982.9</v>
      </c>
      <c r="E908" s="3">
        <v>4581.46</v>
      </c>
    </row>
    <row r="909" spans="2:5" x14ac:dyDescent="0.3">
      <c r="B909" s="6"/>
      <c r="C909" s="3"/>
      <c r="D909" s="6">
        <v>983.96</v>
      </c>
      <c r="E909" s="3">
        <v>1064.26</v>
      </c>
    </row>
    <row r="910" spans="2:5" x14ac:dyDescent="0.3">
      <c r="B910" s="6"/>
      <c r="C910" s="3"/>
      <c r="D910" s="6">
        <v>988.12</v>
      </c>
      <c r="E910" s="3">
        <v>1825.39</v>
      </c>
    </row>
    <row r="911" spans="2:5" x14ac:dyDescent="0.3">
      <c r="B911" s="6"/>
      <c r="C911" s="3"/>
      <c r="D911" s="6">
        <v>988.43</v>
      </c>
      <c r="E911" s="3">
        <v>1154.68</v>
      </c>
    </row>
    <row r="912" spans="2:5" x14ac:dyDescent="0.3">
      <c r="B912" s="6"/>
      <c r="C912" s="3"/>
      <c r="D912" s="6">
        <v>990.01</v>
      </c>
      <c r="E912" s="3">
        <v>6275.96</v>
      </c>
    </row>
    <row r="913" spans="2:5" x14ac:dyDescent="0.3">
      <c r="B913" s="6"/>
      <c r="C913" s="3"/>
      <c r="D913" s="6">
        <v>990.72</v>
      </c>
      <c r="E913" s="3">
        <v>6522.35</v>
      </c>
    </row>
    <row r="914" spans="2:5" x14ac:dyDescent="0.3">
      <c r="B914" s="6"/>
      <c r="C914" s="3"/>
      <c r="D914" s="6">
        <v>994.25</v>
      </c>
      <c r="E914" s="3">
        <v>4348.12</v>
      </c>
    </row>
    <row r="915" spans="2:5" x14ac:dyDescent="0.3">
      <c r="B915" s="6"/>
      <c r="C915" s="3"/>
      <c r="D915" s="6">
        <v>995.68</v>
      </c>
      <c r="E915" s="3">
        <v>3750.7</v>
      </c>
    </row>
    <row r="916" spans="2:5" x14ac:dyDescent="0.3">
      <c r="B916" s="6"/>
      <c r="C916" s="3"/>
      <c r="D916" s="6">
        <v>995.88</v>
      </c>
      <c r="E916" s="3">
        <v>3932.2</v>
      </c>
    </row>
    <row r="917" spans="2:5" x14ac:dyDescent="0.3">
      <c r="B917" s="6"/>
      <c r="C917" s="3"/>
      <c r="D917" s="6">
        <v>1001.99</v>
      </c>
      <c r="E917" s="3">
        <v>3241.75</v>
      </c>
    </row>
    <row r="918" spans="2:5" x14ac:dyDescent="0.3">
      <c r="B918" s="6"/>
      <c r="C918" s="3"/>
      <c r="D918" s="6">
        <v>1003.9</v>
      </c>
      <c r="E918" s="3">
        <v>4300.7299999999996</v>
      </c>
    </row>
    <row r="919" spans="2:5" x14ac:dyDescent="0.3">
      <c r="B919" s="6"/>
      <c r="C919" s="3"/>
      <c r="D919" s="6">
        <v>1007.41</v>
      </c>
      <c r="E919" s="3">
        <v>1534.85</v>
      </c>
    </row>
    <row r="920" spans="2:5" x14ac:dyDescent="0.3">
      <c r="B920" s="6"/>
      <c r="C920" s="3"/>
      <c r="D920" s="6">
        <v>1010.69</v>
      </c>
      <c r="E920" s="3">
        <v>2913.27</v>
      </c>
    </row>
    <row r="921" spans="2:5" x14ac:dyDescent="0.3">
      <c r="B921" s="6"/>
      <c r="C921" s="3"/>
      <c r="D921" s="6">
        <v>1010.97</v>
      </c>
      <c r="E921" s="3">
        <v>4008.2</v>
      </c>
    </row>
    <row r="922" spans="2:5" x14ac:dyDescent="0.3">
      <c r="B922" s="6"/>
      <c r="C922" s="3"/>
      <c r="D922" s="6">
        <v>1013.92</v>
      </c>
      <c r="E922" s="3">
        <v>3894.25</v>
      </c>
    </row>
    <row r="923" spans="2:5" x14ac:dyDescent="0.3">
      <c r="B923" s="6"/>
      <c r="C923" s="3"/>
      <c r="D923" s="6">
        <v>1014.17</v>
      </c>
      <c r="E923" s="3">
        <v>3763.71</v>
      </c>
    </row>
    <row r="924" spans="2:5" x14ac:dyDescent="0.3">
      <c r="B924" s="6"/>
      <c r="C924" s="3"/>
      <c r="D924" s="6">
        <v>1016.89</v>
      </c>
      <c r="E924" s="3">
        <v>4017.44</v>
      </c>
    </row>
    <row r="925" spans="2:5" x14ac:dyDescent="0.3">
      <c r="B925" s="6"/>
      <c r="C925" s="3"/>
      <c r="D925" s="6">
        <v>1017.14</v>
      </c>
      <c r="E925" s="3">
        <v>5680.73</v>
      </c>
    </row>
    <row r="926" spans="2:5" x14ac:dyDescent="0.3">
      <c r="B926" s="6"/>
      <c r="C926" s="3"/>
      <c r="D926" s="6">
        <v>1018.95</v>
      </c>
      <c r="E926" s="3">
        <v>5657.37</v>
      </c>
    </row>
    <row r="927" spans="2:5" x14ac:dyDescent="0.3">
      <c r="B927" s="6"/>
      <c r="C927" s="3"/>
      <c r="D927" s="6">
        <v>1020.45</v>
      </c>
      <c r="E927" s="3">
        <v>5982.18</v>
      </c>
    </row>
    <row r="928" spans="2:5" x14ac:dyDescent="0.3">
      <c r="B928" s="6"/>
      <c r="C928" s="3"/>
      <c r="D928" s="6">
        <v>1022.12</v>
      </c>
      <c r="E928" s="3">
        <v>2689.1</v>
      </c>
    </row>
    <row r="929" spans="2:5" x14ac:dyDescent="0.3">
      <c r="B929" s="6"/>
      <c r="C929" s="3"/>
      <c r="D929" s="6">
        <v>1025.71</v>
      </c>
      <c r="E929" s="3">
        <v>5341.48</v>
      </c>
    </row>
    <row r="930" spans="2:5" x14ac:dyDescent="0.3">
      <c r="B930" s="6"/>
      <c r="C930" s="3"/>
      <c r="D930" s="6">
        <v>1025.73</v>
      </c>
      <c r="E930" s="3">
        <v>4229.04</v>
      </c>
    </row>
    <row r="931" spans="2:5" x14ac:dyDescent="0.3">
      <c r="B931" s="6"/>
      <c r="C931" s="3"/>
      <c r="D931" s="6">
        <v>1026.44</v>
      </c>
      <c r="E931" s="3">
        <v>4982.26</v>
      </c>
    </row>
    <row r="932" spans="2:5" x14ac:dyDescent="0.3">
      <c r="B932" s="6"/>
      <c r="C932" s="3"/>
      <c r="D932" s="6">
        <v>1026.6300000000001</v>
      </c>
      <c r="E932" s="3">
        <v>4267.37</v>
      </c>
    </row>
    <row r="933" spans="2:5" x14ac:dyDescent="0.3">
      <c r="B933" s="6"/>
      <c r="C933" s="3"/>
      <c r="D933" s="6">
        <v>1030.04</v>
      </c>
      <c r="E933" s="3">
        <v>4448.87</v>
      </c>
    </row>
    <row r="934" spans="2:5" x14ac:dyDescent="0.3">
      <c r="B934" s="6"/>
      <c r="C934" s="3"/>
      <c r="D934" s="6">
        <v>1034.5999999999999</v>
      </c>
      <c r="E934" s="3">
        <v>6298.64</v>
      </c>
    </row>
    <row r="935" spans="2:5" x14ac:dyDescent="0.3">
      <c r="B935" s="6"/>
      <c r="C935" s="3"/>
      <c r="D935" s="6">
        <v>1040.51</v>
      </c>
      <c r="E935" s="3">
        <v>3333.14</v>
      </c>
    </row>
    <row r="936" spans="2:5" x14ac:dyDescent="0.3">
      <c r="B936" s="6"/>
      <c r="C936" s="3"/>
      <c r="D936" s="6">
        <v>1042.54</v>
      </c>
      <c r="E936" s="3">
        <v>5009.29</v>
      </c>
    </row>
    <row r="937" spans="2:5" x14ac:dyDescent="0.3">
      <c r="B937" s="6"/>
      <c r="C937" s="3"/>
      <c r="D937" s="6">
        <v>1042.8499999999999</v>
      </c>
      <c r="E937" s="3">
        <v>6552.35</v>
      </c>
    </row>
    <row r="938" spans="2:5" x14ac:dyDescent="0.3">
      <c r="B938" s="6"/>
      <c r="C938" s="3"/>
      <c r="D938" s="6">
        <v>1045.76</v>
      </c>
      <c r="E938" s="3">
        <v>2353.5</v>
      </c>
    </row>
    <row r="939" spans="2:5" x14ac:dyDescent="0.3">
      <c r="B939" s="6"/>
      <c r="C939" s="3"/>
      <c r="D939" s="6">
        <v>1051.3599999999999</v>
      </c>
      <c r="E939" s="3">
        <v>4299.9799999999996</v>
      </c>
    </row>
    <row r="940" spans="2:5" x14ac:dyDescent="0.3">
      <c r="B940" s="6"/>
      <c r="C940" s="3"/>
      <c r="D940" s="6">
        <v>1052.3399999999999</v>
      </c>
      <c r="E940" s="3">
        <v>3384.9</v>
      </c>
    </row>
    <row r="941" spans="2:5" x14ac:dyDescent="0.3">
      <c r="B941" s="6"/>
      <c r="C941" s="3"/>
      <c r="D941" s="6">
        <v>1053.48</v>
      </c>
      <c r="E941" s="3">
        <v>4890.74</v>
      </c>
    </row>
    <row r="942" spans="2:5" x14ac:dyDescent="0.3">
      <c r="B942" s="6"/>
      <c r="C942" s="3"/>
      <c r="D942" s="6">
        <v>1053.94</v>
      </c>
      <c r="E942" s="3">
        <v>3857.57</v>
      </c>
    </row>
    <row r="943" spans="2:5" x14ac:dyDescent="0.3">
      <c r="B943" s="6"/>
      <c r="C943" s="3"/>
      <c r="D943" s="6">
        <v>1058.5</v>
      </c>
      <c r="E943" s="3">
        <v>5712</v>
      </c>
    </row>
    <row r="944" spans="2:5" x14ac:dyDescent="0.3">
      <c r="B944" s="6"/>
      <c r="C944" s="3"/>
      <c r="D944" s="6">
        <v>1059.3599999999999</v>
      </c>
      <c r="E944" s="3">
        <v>3976.89</v>
      </c>
    </row>
    <row r="945" spans="2:5" x14ac:dyDescent="0.3">
      <c r="B945" s="6"/>
      <c r="C945" s="3"/>
      <c r="D945" s="6">
        <v>1061.3499999999999</v>
      </c>
      <c r="E945" s="3">
        <v>6246.92</v>
      </c>
    </row>
    <row r="946" spans="2:5" x14ac:dyDescent="0.3">
      <c r="B946" s="6"/>
      <c r="C946" s="3"/>
      <c r="D946" s="6">
        <v>1061.76</v>
      </c>
      <c r="E946" s="3">
        <v>6000.13</v>
      </c>
    </row>
    <row r="947" spans="2:5" x14ac:dyDescent="0.3">
      <c r="B947" s="6"/>
      <c r="C947" s="3"/>
      <c r="D947" s="6">
        <v>1062.73</v>
      </c>
      <c r="E947" s="3">
        <v>4181.1899999999996</v>
      </c>
    </row>
    <row r="948" spans="2:5" x14ac:dyDescent="0.3">
      <c r="B948" s="6"/>
      <c r="C948" s="3"/>
      <c r="D948" s="6">
        <v>1065.31</v>
      </c>
      <c r="E948" s="3">
        <v>6184.98</v>
      </c>
    </row>
    <row r="949" spans="2:5" x14ac:dyDescent="0.3">
      <c r="B949" s="6"/>
      <c r="C949" s="3"/>
      <c r="D949" s="6">
        <v>1071.32</v>
      </c>
      <c r="E949" s="3">
        <v>3761.82</v>
      </c>
    </row>
    <row r="950" spans="2:5" x14ac:dyDescent="0.3">
      <c r="B950" s="6"/>
      <c r="C950" s="3"/>
      <c r="D950" s="6">
        <v>1072.43</v>
      </c>
      <c r="E950" s="3">
        <v>3851.69</v>
      </c>
    </row>
    <row r="951" spans="2:5" x14ac:dyDescent="0.3">
      <c r="B951" s="6"/>
      <c r="C951" s="3"/>
      <c r="D951" s="6">
        <v>1075.18</v>
      </c>
      <c r="E951" s="3">
        <v>6107.77</v>
      </c>
    </row>
    <row r="952" spans="2:5" x14ac:dyDescent="0.3">
      <c r="B952" s="6"/>
      <c r="C952" s="3"/>
      <c r="D952" s="6">
        <v>1076.99</v>
      </c>
      <c r="E952" s="3">
        <v>1024.74</v>
      </c>
    </row>
    <row r="953" spans="2:5" x14ac:dyDescent="0.3">
      <c r="B953" s="6"/>
      <c r="C953" s="3"/>
      <c r="D953" s="6">
        <v>1087.17</v>
      </c>
      <c r="E953" s="3">
        <v>6206.32</v>
      </c>
    </row>
    <row r="954" spans="2:5" x14ac:dyDescent="0.3">
      <c r="B954" s="6"/>
      <c r="C954" s="3"/>
      <c r="D954" s="6">
        <v>1088.03</v>
      </c>
      <c r="E954" s="3">
        <v>4464.3900000000003</v>
      </c>
    </row>
    <row r="955" spans="2:5" x14ac:dyDescent="0.3">
      <c r="B955" s="6"/>
      <c r="C955" s="3"/>
      <c r="D955" s="6">
        <v>1088.0899999999999</v>
      </c>
      <c r="E955" s="3">
        <v>5210.68</v>
      </c>
    </row>
    <row r="956" spans="2:5" x14ac:dyDescent="0.3">
      <c r="B956" s="6"/>
      <c r="C956" s="3"/>
      <c r="D956" s="6">
        <v>1091.33</v>
      </c>
      <c r="E956" s="3">
        <v>1812.57</v>
      </c>
    </row>
    <row r="957" spans="2:5" x14ac:dyDescent="0.3">
      <c r="B957" s="6"/>
      <c r="C957" s="3"/>
      <c r="D957" s="6">
        <v>1092.18</v>
      </c>
      <c r="E957" s="3">
        <v>1837.23</v>
      </c>
    </row>
    <row r="958" spans="2:5" x14ac:dyDescent="0.3">
      <c r="B958" s="6"/>
      <c r="C958" s="3"/>
      <c r="D958" s="6">
        <v>1093.8699999999999</v>
      </c>
      <c r="E958" s="3">
        <v>4423.83</v>
      </c>
    </row>
    <row r="959" spans="2:5" x14ac:dyDescent="0.3">
      <c r="B959" s="6"/>
      <c r="C959" s="3"/>
      <c r="D959" s="6">
        <v>1094.1500000000001</v>
      </c>
      <c r="E959" s="3">
        <v>1783.57</v>
      </c>
    </row>
    <row r="960" spans="2:5" x14ac:dyDescent="0.3">
      <c r="B960" s="6"/>
      <c r="C960" s="3"/>
      <c r="D960" s="6">
        <v>1095.7</v>
      </c>
      <c r="E960" s="3">
        <v>3354.53</v>
      </c>
    </row>
    <row r="961" spans="2:5" x14ac:dyDescent="0.3">
      <c r="B961" s="6"/>
      <c r="C961" s="3"/>
      <c r="D961" s="6">
        <v>1099.5899999999999</v>
      </c>
      <c r="E961" s="3">
        <v>5351.12</v>
      </c>
    </row>
    <row r="962" spans="2:5" x14ac:dyDescent="0.3">
      <c r="B962" s="6"/>
      <c r="C962" s="3"/>
      <c r="D962" s="6">
        <v>1099.9000000000001</v>
      </c>
      <c r="E962" s="3">
        <v>4628.1099999999997</v>
      </c>
    </row>
    <row r="963" spans="2:5" x14ac:dyDescent="0.3">
      <c r="B963" s="6"/>
      <c r="C963" s="3"/>
      <c r="D963" s="6">
        <v>1101.27</v>
      </c>
      <c r="E963" s="3">
        <v>6843.04</v>
      </c>
    </row>
    <row r="964" spans="2:5" x14ac:dyDescent="0.3">
      <c r="B964" s="6"/>
      <c r="C964" s="3"/>
      <c r="D964" s="6">
        <v>1102.48</v>
      </c>
      <c r="E964" s="3">
        <v>6990.6</v>
      </c>
    </row>
    <row r="965" spans="2:5" x14ac:dyDescent="0.3">
      <c r="B965" s="6"/>
      <c r="C965" s="3"/>
      <c r="D965" s="6">
        <v>1103.68</v>
      </c>
      <c r="E965" s="3">
        <v>3534.77</v>
      </c>
    </row>
    <row r="966" spans="2:5" x14ac:dyDescent="0.3">
      <c r="B966" s="6"/>
      <c r="C966" s="3"/>
      <c r="D966" s="6">
        <v>1105.42</v>
      </c>
      <c r="E966" s="3">
        <v>1425.96</v>
      </c>
    </row>
    <row r="967" spans="2:5" x14ac:dyDescent="0.3">
      <c r="B967" s="6"/>
      <c r="C967" s="3"/>
      <c r="D967" s="6">
        <v>1105.6300000000001</v>
      </c>
      <c r="E967" s="3">
        <v>2828.15</v>
      </c>
    </row>
    <row r="968" spans="2:5" x14ac:dyDescent="0.3">
      <c r="B968" s="6"/>
      <c r="C968" s="3"/>
      <c r="D968" s="6">
        <v>1109.77</v>
      </c>
      <c r="E968" s="3">
        <v>5878.94</v>
      </c>
    </row>
    <row r="969" spans="2:5" x14ac:dyDescent="0.3">
      <c r="B969" s="6"/>
      <c r="C969" s="3"/>
      <c r="D969" s="6">
        <v>1110.0899999999999</v>
      </c>
      <c r="E969" s="3">
        <v>1803.3</v>
      </c>
    </row>
    <row r="970" spans="2:5" x14ac:dyDescent="0.3">
      <c r="B970" s="6"/>
      <c r="C970" s="3"/>
      <c r="D970" s="6">
        <v>1110.44</v>
      </c>
      <c r="E970" s="3">
        <v>6245.14</v>
      </c>
    </row>
    <row r="971" spans="2:5" x14ac:dyDescent="0.3">
      <c r="B971" s="6"/>
      <c r="C971" s="3"/>
      <c r="D971" s="6">
        <v>1110.71</v>
      </c>
      <c r="E971" s="3">
        <v>5606.69</v>
      </c>
    </row>
    <row r="972" spans="2:5" x14ac:dyDescent="0.3">
      <c r="B972" s="6"/>
      <c r="C972" s="3"/>
      <c r="D972" s="6">
        <v>1111.23</v>
      </c>
      <c r="E972" s="3">
        <v>5358.47</v>
      </c>
    </row>
    <row r="973" spans="2:5" x14ac:dyDescent="0.3">
      <c r="B973" s="6"/>
      <c r="C973" s="3"/>
      <c r="D973" s="6">
        <v>1114.55</v>
      </c>
      <c r="E973" s="3">
        <v>2888.07</v>
      </c>
    </row>
    <row r="974" spans="2:5" x14ac:dyDescent="0.3">
      <c r="B974" s="6"/>
      <c r="C974" s="3"/>
      <c r="D974" s="6">
        <v>1117.4000000000001</v>
      </c>
      <c r="E974" s="3">
        <v>5748.28</v>
      </c>
    </row>
    <row r="975" spans="2:5" x14ac:dyDescent="0.3">
      <c r="B975" s="6"/>
      <c r="C975" s="3"/>
      <c r="D975" s="6">
        <v>1117.9000000000001</v>
      </c>
      <c r="E975" s="3">
        <v>2240.64</v>
      </c>
    </row>
    <row r="976" spans="2:5" x14ac:dyDescent="0.3">
      <c r="B976" s="6"/>
      <c r="C976" s="3"/>
      <c r="D976" s="6">
        <v>1117.94</v>
      </c>
      <c r="E976" s="3">
        <v>3636.53</v>
      </c>
    </row>
    <row r="977" spans="2:5" x14ac:dyDescent="0.3">
      <c r="B977" s="6"/>
      <c r="C977" s="3"/>
      <c r="D977" s="6">
        <v>1118.02</v>
      </c>
      <c r="E977" s="3">
        <v>3933.37</v>
      </c>
    </row>
    <row r="978" spans="2:5" x14ac:dyDescent="0.3">
      <c r="B978" s="6"/>
      <c r="C978" s="3"/>
      <c r="D978" s="6">
        <v>1125.68</v>
      </c>
      <c r="E978" s="3">
        <v>3219.56</v>
      </c>
    </row>
    <row r="979" spans="2:5" x14ac:dyDescent="0.3">
      <c r="B979" s="6"/>
      <c r="C979" s="3"/>
      <c r="D979" s="6">
        <v>1128.57</v>
      </c>
      <c r="E979" s="3">
        <v>1869.09</v>
      </c>
    </row>
    <row r="980" spans="2:5" x14ac:dyDescent="0.3">
      <c r="B980" s="6"/>
      <c r="C980" s="3"/>
      <c r="D980" s="6">
        <v>1130.68</v>
      </c>
      <c r="E980" s="3">
        <v>1480.24</v>
      </c>
    </row>
    <row r="981" spans="2:5" x14ac:dyDescent="0.3">
      <c r="B981" s="6"/>
      <c r="C981" s="3"/>
      <c r="D981" s="6">
        <v>1131.4000000000001</v>
      </c>
      <c r="E981" s="3">
        <v>3393.58</v>
      </c>
    </row>
    <row r="982" spans="2:5" x14ac:dyDescent="0.3">
      <c r="B982" s="6"/>
      <c r="C982" s="3"/>
      <c r="D982" s="6">
        <v>1132.3699999999999</v>
      </c>
      <c r="E982" s="3">
        <v>4403.76</v>
      </c>
    </row>
    <row r="983" spans="2:5" x14ac:dyDescent="0.3">
      <c r="D983" s="6">
        <v>1142.96</v>
      </c>
      <c r="E983" s="3">
        <v>2900.07</v>
      </c>
    </row>
    <row r="984" spans="2:5" x14ac:dyDescent="0.3">
      <c r="D984" s="6">
        <v>1147.8</v>
      </c>
      <c r="E984" s="3">
        <v>2446.92</v>
      </c>
    </row>
    <row r="985" spans="2:5" x14ac:dyDescent="0.3">
      <c r="D985" s="6">
        <v>1148.21</v>
      </c>
      <c r="E985" s="3">
        <v>4909.17</v>
      </c>
    </row>
    <row r="986" spans="2:5" x14ac:dyDescent="0.3">
      <c r="D986" s="6">
        <v>1148.25</v>
      </c>
      <c r="E986" s="3">
        <v>3392.47</v>
      </c>
    </row>
    <row r="987" spans="2:5" x14ac:dyDescent="0.3">
      <c r="D987" s="6">
        <v>1154.6099999999999</v>
      </c>
      <c r="E987" s="3">
        <v>4259.1499999999996</v>
      </c>
    </row>
    <row r="988" spans="2:5" x14ac:dyDescent="0.3">
      <c r="D988" s="6">
        <v>1154.7</v>
      </c>
      <c r="E988" s="3">
        <v>5546.66</v>
      </c>
    </row>
    <row r="989" spans="2:5" x14ac:dyDescent="0.3">
      <c r="D989" s="6">
        <v>1158.3</v>
      </c>
      <c r="E989" s="3">
        <v>1895.92</v>
      </c>
    </row>
    <row r="990" spans="2:5" x14ac:dyDescent="0.3">
      <c r="D990" s="6">
        <v>1159.3</v>
      </c>
      <c r="E990" s="3">
        <v>2603.9499999999998</v>
      </c>
    </row>
    <row r="991" spans="2:5" x14ac:dyDescent="0.3">
      <c r="D991" s="6">
        <v>1160.58</v>
      </c>
      <c r="E991" s="3">
        <v>4443.79</v>
      </c>
    </row>
    <row r="992" spans="2:5" x14ac:dyDescent="0.3">
      <c r="D992" s="6">
        <v>1161.76</v>
      </c>
      <c r="E992" s="3">
        <v>5783.85</v>
      </c>
    </row>
    <row r="993" spans="4:5" x14ac:dyDescent="0.3">
      <c r="D993" s="6">
        <v>1164.29</v>
      </c>
      <c r="E993" s="3">
        <v>4279.6899999999996</v>
      </c>
    </row>
    <row r="994" spans="4:5" x14ac:dyDescent="0.3">
      <c r="D994" s="6">
        <v>1164.57</v>
      </c>
      <c r="E994" s="3">
        <v>5716.49</v>
      </c>
    </row>
    <row r="995" spans="4:5" x14ac:dyDescent="0.3">
      <c r="D995" s="6">
        <v>1164.69</v>
      </c>
      <c r="E995" s="3">
        <v>2945.41</v>
      </c>
    </row>
    <row r="996" spans="4:5" x14ac:dyDescent="0.3">
      <c r="D996" s="6">
        <v>1177.7</v>
      </c>
      <c r="E996" s="3">
        <v>4828.49</v>
      </c>
    </row>
    <row r="997" spans="4:5" x14ac:dyDescent="0.3">
      <c r="D997" s="6">
        <v>1183.01</v>
      </c>
      <c r="E997" s="3">
        <v>1157.7</v>
      </c>
    </row>
    <row r="998" spans="4:5" x14ac:dyDescent="0.3">
      <c r="D998" s="6">
        <v>1184.3900000000001</v>
      </c>
      <c r="E998" s="3">
        <v>4105.66</v>
      </c>
    </row>
    <row r="999" spans="4:5" x14ac:dyDescent="0.3">
      <c r="D999" s="6">
        <v>1185.28</v>
      </c>
      <c r="E999" s="3">
        <v>4282.28</v>
      </c>
    </row>
    <row r="1000" spans="4:5" x14ac:dyDescent="0.3">
      <c r="D1000" s="6">
        <v>1187.23</v>
      </c>
      <c r="E1000" s="3">
        <v>1946.48</v>
      </c>
    </row>
    <row r="1001" spans="4:5" x14ac:dyDescent="0.3">
      <c r="D1001" s="6">
        <v>1188.1500000000001</v>
      </c>
      <c r="E1001" s="3">
        <v>1048.3800000000001</v>
      </c>
    </row>
    <row r="1002" spans="4:5" x14ac:dyDescent="0.3">
      <c r="D1002" s="6">
        <v>1196.97</v>
      </c>
      <c r="E1002" s="3">
        <v>1548.41</v>
      </c>
    </row>
    <row r="1003" spans="4:5" x14ac:dyDescent="0.3">
      <c r="D1003" s="6">
        <v>1197.33</v>
      </c>
      <c r="E1003" s="3">
        <v>6386.94</v>
      </c>
    </row>
    <row r="1004" spans="4:5" x14ac:dyDescent="0.3">
      <c r="D1004" s="6">
        <v>1198.45</v>
      </c>
      <c r="E1004" s="3">
        <v>6614.41</v>
      </c>
    </row>
  </sheetData>
  <conditionalFormatting sqref="C28:I36">
    <cfRule type="colorScale" priority="1">
      <colorScale>
        <cfvo type="min"/>
        <cfvo type="max"/>
        <color rgb="FFFCFCFF"/>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BC804-641C-4723-BB4B-54181FC999C9}">
  <dimension ref="J2:L2"/>
  <sheetViews>
    <sheetView showGridLines="0" showRowColHeaders="0" tabSelected="1" zoomScale="57" workbookViewId="0">
      <selection activeCell="U53" sqref="U53"/>
    </sheetView>
  </sheetViews>
  <sheetFormatPr defaultRowHeight="14.4" x14ac:dyDescent="0.3"/>
  <cols>
    <col min="1" max="10" width="8.88671875" style="7"/>
    <col min="11" max="11" width="13.44140625" style="7" customWidth="1"/>
    <col min="12" max="16384" width="8.88671875" style="7"/>
  </cols>
  <sheetData>
    <row r="2" spans="10:12" ht="46.2" x14ac:dyDescent="0.85">
      <c r="J2" s="8"/>
      <c r="L2" s="9" t="s">
        <v>723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Agricultural_Crop_Yield </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Peoples Marketing</dc:creator>
  <cp:lastModifiedBy>Peoples Marketing</cp:lastModifiedBy>
  <dcterms:created xsi:type="dcterms:W3CDTF">2026-01-30T04:21:36Z</dcterms:created>
  <dcterms:modified xsi:type="dcterms:W3CDTF">2026-01-30T05:46:11Z</dcterms:modified>
</cp:coreProperties>
</file>